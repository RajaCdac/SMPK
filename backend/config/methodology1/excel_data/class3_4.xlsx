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PayScale" sheetId="1" r:id="rId1"/>
    <sheet name="DA_1992" sheetId="2" r:id="rId2"/>
    <sheet name="SpecialDA" sheetId="3" r:id="rId3"/>
    <sheet name="SpecialAllowance" sheetId="4" r:id="rId4"/>
    <sheet name="Fixed_DA" sheetId="5" r:id="rId5"/>
    <sheet name="Matrix2017" sheetId="6" r:id="rId6"/>
    <sheet name="Matrix2022" sheetId="7" r:id="rId7"/>
  </sheets>
  <calcPr calcId="124519"/>
</workbook>
</file>

<file path=xl/calcChain.xml><?xml version="1.0" encoding="utf-8"?>
<calcChain xmlns="http://schemas.openxmlformats.org/spreadsheetml/2006/main">
  <c r="L12" i="1"/>
  <c r="L13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11"/>
  <c r="P12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11"/>
  <c r="N17"/>
  <c r="N18" s="1"/>
  <c r="N19" s="1"/>
  <c r="N20" s="1"/>
  <c r="N21" s="1"/>
  <c r="N12"/>
  <c r="N13" s="1"/>
  <c r="N14" s="1"/>
  <c r="N15" s="1"/>
  <c r="N16" s="1"/>
  <c r="N11"/>
</calcChain>
</file>

<file path=xl/sharedStrings.xml><?xml version="1.0" encoding="utf-8"?>
<sst xmlns="http://schemas.openxmlformats.org/spreadsheetml/2006/main" count="394" uniqueCount="245">
  <si>
    <t xml:space="preserve">PAY SCALES OF CLASS 3 &amp; 4  </t>
  </si>
  <si>
    <t>SL NO</t>
  </si>
  <si>
    <t>Scale</t>
  </si>
  <si>
    <t>1979(REVISED PAY SCALE)</t>
  </si>
  <si>
    <t>1984(REVISED PAY SCALE)</t>
  </si>
  <si>
    <t>1988(607 CPI)</t>
  </si>
  <si>
    <t>1993(1030 CPI)</t>
  </si>
  <si>
    <t>1997(1708 CPI)</t>
  </si>
  <si>
    <t>2007(126 CPI)</t>
  </si>
  <si>
    <t>2012(198 CPI)</t>
  </si>
  <si>
    <t>2017(277 CPI)</t>
  </si>
  <si>
    <t>E-1</t>
  </si>
  <si>
    <t>325-8-389-9-461</t>
  </si>
  <si>
    <t>550-11-638-11-726</t>
  </si>
  <si>
    <t>1040-20-1200-25-1425</t>
  </si>
  <si>
    <t>2010-35-2290-45-2830</t>
  </si>
  <si>
    <t>3700-60-4180-75-5830</t>
  </si>
  <si>
    <t>13500-27400</t>
  </si>
  <si>
    <t xml:space="preserve">20900 - 43600 </t>
  </si>
  <si>
    <t>E-2</t>
  </si>
  <si>
    <t>330-8-370-9-415-10-475</t>
  </si>
  <si>
    <t>565-11-620-13-685-15-775</t>
  </si>
  <si>
    <t>1055-20-1155-30-1305-35-1515</t>
  </si>
  <si>
    <t>2025-35-2200-50-2450-60-2990</t>
  </si>
  <si>
    <t>3840-80-4320-100-6720</t>
  </si>
  <si>
    <t>14100-31600</t>
  </si>
  <si>
    <t>21800 - 50200</t>
  </si>
  <si>
    <t>DA Formula 1992</t>
  </si>
  <si>
    <t>E-3</t>
  </si>
  <si>
    <t>340-8-372-9-417-10-497</t>
  </si>
  <si>
    <t>575-11-619-13-671-15-806</t>
  </si>
  <si>
    <t>1065-20-1145-30-1265-35-1545</t>
  </si>
  <si>
    <t>2035-35-2175-50-2375-60-3035</t>
  </si>
  <si>
    <t>Min</t>
  </si>
  <si>
    <t>Max</t>
  </si>
  <si>
    <t>Slab</t>
  </si>
  <si>
    <t>Rate</t>
  </si>
  <si>
    <t>E-4</t>
  </si>
  <si>
    <t>350-9-386-10-436-11-524</t>
  </si>
  <si>
    <t>585-13-637-15-712-16-840</t>
  </si>
  <si>
    <t>1075-30-1195-35-1580</t>
  </si>
  <si>
    <t>2045-50-2245-60-3085</t>
  </si>
  <si>
    <t>3900-90-4260-100-6860</t>
  </si>
  <si>
    <t>14400-32300</t>
  </si>
  <si>
    <t>22300-51000</t>
  </si>
  <si>
    <t>E-5</t>
  </si>
  <si>
    <t>360-10-410-11-498-12-558</t>
  </si>
  <si>
    <t>595-15-715-16-875</t>
  </si>
  <si>
    <t>1085-35-1645</t>
  </si>
  <si>
    <t>2055-60-2775-65-3230</t>
  </si>
  <si>
    <t>4000-100-4800-115-7330</t>
  </si>
  <si>
    <t>14900-34600</t>
  </si>
  <si>
    <t>23100 -54600</t>
  </si>
  <si>
    <t>E-7</t>
  </si>
  <si>
    <t>370-11-425-12-533-13-598</t>
  </si>
  <si>
    <t>1095-35-1375-40-1695</t>
  </si>
  <si>
    <t>2065-60-2545-70-3315</t>
  </si>
  <si>
    <t>E-6</t>
  </si>
  <si>
    <t>400-11-411-12-495-14-635</t>
  </si>
  <si>
    <t>1130-35-1375-40-1735</t>
  </si>
  <si>
    <t>2110-60-2350-70-2700-75-3450</t>
  </si>
  <si>
    <t>4160-115-5195-125-7820</t>
  </si>
  <si>
    <t>15600-36800</t>
  </si>
  <si>
    <t>24200 - 58600</t>
  </si>
  <si>
    <t>E-8</t>
  </si>
  <si>
    <t>420-11-431-13-496-14-664</t>
  </si>
  <si>
    <t>665-18-755-20-1015</t>
  </si>
  <si>
    <t>1160-40-1800</t>
  </si>
  <si>
    <t>2150-70-2780-75-3605</t>
  </si>
  <si>
    <t>E-9</t>
  </si>
  <si>
    <t>425-12-437-14-549-16-645</t>
  </si>
  <si>
    <t>670-20-830-22-984</t>
  </si>
  <si>
    <t>1165-40-1485-45-1800</t>
  </si>
  <si>
    <t>2160-70-2720-75-3620</t>
  </si>
  <si>
    <t>4300-120-5260-130-8120</t>
  </si>
  <si>
    <t>16300-38200</t>
  </si>
  <si>
    <t>25200 - 59600</t>
  </si>
  <si>
    <t>E-10</t>
  </si>
  <si>
    <t>670-20-830-22-1028</t>
  </si>
  <si>
    <t>1165-40-1485-45-1845</t>
  </si>
  <si>
    <t>2160-70-2720-75-3695</t>
  </si>
  <si>
    <t>E-11</t>
  </si>
  <si>
    <t>670-20-830-22-1116</t>
  </si>
  <si>
    <t>1165-40-1485-45-1935</t>
  </si>
  <si>
    <t>2160-70-2720-75-3845</t>
  </si>
  <si>
    <t>E-12</t>
  </si>
  <si>
    <t>465-14-549-16-677</t>
  </si>
  <si>
    <t>710-20-830-22-1028</t>
  </si>
  <si>
    <t>1205-40-1485-45-1845</t>
  </si>
  <si>
    <t>2230-70-2720-75-3695</t>
  </si>
  <si>
    <t>Special D.a From 11.1984</t>
  </si>
  <si>
    <t>Fixed Speical Allowance on 31-12-1979</t>
  </si>
  <si>
    <t>E-13</t>
  </si>
  <si>
    <t>535-16-743</t>
  </si>
  <si>
    <t>785-22-1115</t>
  </si>
  <si>
    <t>1285-40-1485-45-1935</t>
  </si>
  <si>
    <t>2370-70-2720-75-3845</t>
  </si>
  <si>
    <t>Lower</t>
  </si>
  <si>
    <t>Upper</t>
  </si>
  <si>
    <t>S.D.A</t>
  </si>
  <si>
    <t>E-14</t>
  </si>
  <si>
    <t>450-12-462-16-622-19-793</t>
  </si>
  <si>
    <t>695-22-915-26-1175</t>
  </si>
  <si>
    <t>1190-45-1505-50-2005</t>
  </si>
  <si>
    <t>2185-75-2710-85-3985</t>
  </si>
  <si>
    <t>4640-140-5760-170-9500</t>
  </si>
  <si>
    <t>17700-44600</t>
  </si>
  <si>
    <t>27400 - 70500</t>
  </si>
  <si>
    <t>E-15</t>
  </si>
  <si>
    <t>465-14-479-16-591-19-819</t>
  </si>
  <si>
    <t>710-22-864-26-1202</t>
  </si>
  <si>
    <t>1205-45-1430-50-2030</t>
  </si>
  <si>
    <t>2230-75-2605-85-4050</t>
  </si>
  <si>
    <t>E-16</t>
  </si>
  <si>
    <t>480-14-494-19-703-24-871</t>
  </si>
  <si>
    <t>725-26-985-34-1257</t>
  </si>
  <si>
    <t>1220-50-1620-60-2160</t>
  </si>
  <si>
    <t>2250-85-2930-100-4330</t>
  </si>
  <si>
    <t>E-17</t>
  </si>
  <si>
    <t>725-26-985-34-1325</t>
  </si>
  <si>
    <t>1220-50-1620-60-2220</t>
  </si>
  <si>
    <t>2250-85-2930-100-4430</t>
  </si>
  <si>
    <t>E-18</t>
  </si>
  <si>
    <t>532-19-703-24-919</t>
  </si>
  <si>
    <t>785-26-1019-34-1325</t>
  </si>
  <si>
    <t>1320-50-1620-60-2220</t>
  </si>
  <si>
    <t>2420-85-2930-100-4430</t>
  </si>
  <si>
    <t>5000-150-5450-200-10850</t>
  </si>
  <si>
    <t>19100-51100</t>
  </si>
  <si>
    <t>29600 - 81100</t>
  </si>
  <si>
    <t>E-19</t>
  </si>
  <si>
    <t>575-19-689-24-953</t>
  </si>
  <si>
    <t>795-26-951-34-1359</t>
  </si>
  <si>
    <t>1295-50-1595-60-2255</t>
  </si>
  <si>
    <t>2425-85-2935-100-4435</t>
  </si>
  <si>
    <t>E-20</t>
  </si>
  <si>
    <t>600-19-657-24-753-29-1014</t>
  </si>
  <si>
    <t>800-26-878-34-1014-40-1454</t>
  </si>
  <si>
    <t>1300-50-1450-60-1690-70-2460</t>
  </si>
  <si>
    <t>2425-85-2680-100-3080-120-4760</t>
  </si>
  <si>
    <t>E-21</t>
  </si>
  <si>
    <t>600-19-657-24-729-29-1135</t>
  </si>
  <si>
    <t>E-22</t>
  </si>
  <si>
    <t>500-19-690-24-786-29-1018</t>
  </si>
  <si>
    <t>745-26-979-34-1081-40-1601</t>
  </si>
  <si>
    <t>1240-50-1590-60-2070-70-2560</t>
  </si>
  <si>
    <t>2275-85-2870-100-3670-120-4870</t>
  </si>
  <si>
    <t>E-23</t>
  </si>
  <si>
    <t>500-19-671-24-767-29-1202</t>
  </si>
  <si>
    <t>E-24</t>
  </si>
  <si>
    <t>645-19-664-24-736-29-1142</t>
  </si>
  <si>
    <t>850-34-1020-40-1500</t>
  </si>
  <si>
    <t>1350-60-1650-70-2490</t>
  </si>
  <si>
    <t>2500-100-3000-120-4800</t>
  </si>
  <si>
    <t>5500-200-6100-220-11380</t>
  </si>
  <si>
    <t>21000-53500</t>
  </si>
  <si>
    <t>32500 - 83800</t>
  </si>
  <si>
    <t>850-34-1220-40-1620</t>
  </si>
  <si>
    <t>1350-60-1650-70-2630</t>
  </si>
  <si>
    <t>2500-100-3000-120-5040</t>
  </si>
  <si>
    <t>E-26</t>
  </si>
  <si>
    <t>675-24-723-29-1187</t>
  </si>
  <si>
    <t>880-34-982-40-1542</t>
  </si>
  <si>
    <t>1385-60-1565-70-2545</t>
  </si>
  <si>
    <t>2600-100-2900-120-4940</t>
  </si>
  <si>
    <t>E-27</t>
  </si>
  <si>
    <t>880-34-982-40-1644</t>
  </si>
  <si>
    <t>1385-60-1565-70-2685</t>
  </si>
  <si>
    <t>2600-100-2900-120-5180</t>
  </si>
  <si>
    <t>E-28</t>
  </si>
  <si>
    <t>750-29-1011-30-1251</t>
  </si>
  <si>
    <t>900-40-1220-41-1630</t>
  </si>
  <si>
    <t>1405-70-1965-75-2715</t>
  </si>
  <si>
    <t>2650-120-3610-140-5430</t>
  </si>
  <si>
    <t>6170-230-7320-245-11975</t>
  </si>
  <si>
    <t>23600-56300</t>
  </si>
  <si>
    <t>36500 - 88700</t>
  </si>
  <si>
    <t>E-29</t>
  </si>
  <si>
    <t>775-29-978-30-1278</t>
  </si>
  <si>
    <t>1435-70-1855-75-2755</t>
  </si>
  <si>
    <t>2700-120-3420-140-5520</t>
  </si>
  <si>
    <t>E-30</t>
  </si>
  <si>
    <t>800-29-974-30-1244</t>
  </si>
  <si>
    <t>E-31</t>
  </si>
  <si>
    <t>800-29-974-30-1274</t>
  </si>
  <si>
    <t>E-32</t>
  </si>
  <si>
    <t>900-33-1164-34-1300</t>
  </si>
  <si>
    <t>965-44-1229-50-1679</t>
  </si>
  <si>
    <t>1470-80-1950-85-2800</t>
  </si>
  <si>
    <t>2750-140-3590-150-5690</t>
  </si>
  <si>
    <t>605-16-765-18-927</t>
  </si>
  <si>
    <t>930-40-1210-41-1661</t>
  </si>
  <si>
    <t>Revised Pay Range</t>
  </si>
  <si>
    <t>FDA</t>
  </si>
  <si>
    <t>Pre Revised Scale</t>
  </si>
  <si>
    <t>Revised Pay Scale</t>
  </si>
  <si>
    <t>Levels</t>
  </si>
  <si>
    <t>20900-43600</t>
  </si>
  <si>
    <t>21800-50200</t>
  </si>
  <si>
    <t>23100-54600</t>
  </si>
  <si>
    <t>24200-58600</t>
  </si>
  <si>
    <t>25200-59600</t>
  </si>
  <si>
    <t>27400-70500</t>
  </si>
  <si>
    <t>29600-81100</t>
  </si>
  <si>
    <t>32500-83800</t>
  </si>
  <si>
    <t>36500-88700</t>
  </si>
  <si>
    <t>20900-43800</t>
  </si>
  <si>
    <t>29500-62000</t>
  </si>
  <si>
    <t>30700-72300</t>
  </si>
  <si>
    <t>31500-74300</t>
  </si>
  <si>
    <t>32600-79100</t>
  </si>
  <si>
    <t>34100-82900</t>
  </si>
  <si>
    <t>35500-86300</t>
  </si>
  <si>
    <t>38600-99700</t>
  </si>
  <si>
    <t>41800-117500</t>
  </si>
  <si>
    <t>45800-121300</t>
  </si>
  <si>
    <t>51500-128400</t>
  </si>
  <si>
    <t>Matrix 2017</t>
  </si>
  <si>
    <t>2022(359 CPI)</t>
  </si>
  <si>
    <t>41800-117600</t>
  </si>
  <si>
    <t>Matrix 2022</t>
  </si>
  <si>
    <t>7800-10-15800</t>
  </si>
  <si>
    <t>8100-10-18200</t>
  </si>
  <si>
    <t>8300-10-18600</t>
  </si>
  <si>
    <t>8600-10-19900</t>
  </si>
  <si>
    <t>9000-10-21200</t>
  </si>
  <si>
    <t>9400-10-22000</t>
  </si>
  <si>
    <t>10200-10-25700</t>
  </si>
  <si>
    <t>11000-10-29400</t>
  </si>
  <si>
    <t>12100-10-30800</t>
  </si>
  <si>
    <t>13600-10-32400</t>
  </si>
  <si>
    <t>23600-10-56300</t>
  </si>
  <si>
    <t>21000-10-53500</t>
  </si>
  <si>
    <t>19100-10-51100</t>
  </si>
  <si>
    <t>17700-10-44600</t>
  </si>
  <si>
    <t>16300-10-38200</t>
  </si>
  <si>
    <t>15600-10-36800</t>
  </si>
  <si>
    <t>14900-10-34600</t>
  </si>
  <si>
    <t>14400-10-32300</t>
  </si>
  <si>
    <t>14100-10-31600</t>
  </si>
  <si>
    <t>13500-10-27400</t>
  </si>
  <si>
    <t>635-16-763-20-963</t>
  </si>
  <si>
    <t>425-12-437-14-549-16-741</t>
  </si>
  <si>
    <t>480-14-494-19-703-24-919</t>
  </si>
  <si>
    <t>425-12-437-14-549-16-677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</si>
</sst>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4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vertical="center"/>
      <protection locked="0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topLeftCell="A4" zoomScale="140" zoomScaleNormal="140" workbookViewId="0">
      <selection activeCell="C12" sqref="C12"/>
    </sheetView>
  </sheetViews>
  <sheetFormatPr defaultRowHeight="15"/>
  <cols>
    <col min="2" max="2" width="5.5703125" bestFit="1" customWidth="1"/>
    <col min="3" max="3" width="33.7109375" customWidth="1"/>
    <col min="4" max="4" width="27.42578125" bestFit="1" customWidth="1"/>
    <col min="5" max="5" width="31.140625" bestFit="1" customWidth="1"/>
    <col min="6" max="6" width="33.42578125" bestFit="1" customWidth="1"/>
    <col min="7" max="7" width="23.28515625" bestFit="1" customWidth="1"/>
    <col min="8" max="8" width="17.85546875" customWidth="1"/>
    <col min="9" max="9" width="15.7109375" bestFit="1" customWidth="1"/>
    <col min="10" max="10" width="16.7109375" customWidth="1"/>
    <col min="11" max="11" width="14.42578125" bestFit="1" customWidth="1"/>
    <col min="12" max="12" width="13.7109375" customWidth="1"/>
    <col min="21" max="21" width="20" customWidth="1"/>
  </cols>
  <sheetData>
    <row r="1" spans="1:17" ht="18.75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17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218</v>
      </c>
    </row>
    <row r="3" spans="1:17">
      <c r="A3" s="5">
        <v>1</v>
      </c>
      <c r="B3" s="5" t="s">
        <v>11</v>
      </c>
      <c r="C3" s="6" t="s">
        <v>12</v>
      </c>
      <c r="D3" s="6" t="s">
        <v>13</v>
      </c>
      <c r="E3" s="7" t="s">
        <v>14</v>
      </c>
      <c r="F3" s="7" t="s">
        <v>15</v>
      </c>
      <c r="G3" s="8" t="s">
        <v>16</v>
      </c>
      <c r="H3" s="8" t="s">
        <v>221</v>
      </c>
      <c r="I3" s="8" t="s">
        <v>240</v>
      </c>
      <c r="J3" s="9" t="s">
        <v>18</v>
      </c>
      <c r="K3" s="29" t="s">
        <v>207</v>
      </c>
    </row>
    <row r="4" spans="1:17">
      <c r="A4" s="5">
        <v>2</v>
      </c>
      <c r="B4" s="5" t="s">
        <v>19</v>
      </c>
      <c r="C4" s="6" t="s">
        <v>20</v>
      </c>
      <c r="D4" s="6" t="s">
        <v>21</v>
      </c>
      <c r="E4" s="7" t="s">
        <v>22</v>
      </c>
      <c r="F4" s="7" t="s">
        <v>23</v>
      </c>
      <c r="G4" s="8" t="s">
        <v>24</v>
      </c>
      <c r="H4" s="8" t="s">
        <v>222</v>
      </c>
      <c r="I4" s="8" t="s">
        <v>239</v>
      </c>
      <c r="J4" s="9" t="s">
        <v>26</v>
      </c>
      <c r="K4" s="29" t="s">
        <v>208</v>
      </c>
    </row>
    <row r="5" spans="1:17">
      <c r="A5" s="5">
        <v>3</v>
      </c>
      <c r="B5" s="5" t="s">
        <v>28</v>
      </c>
      <c r="C5" s="6" t="s">
        <v>29</v>
      </c>
      <c r="D5" s="6" t="s">
        <v>30</v>
      </c>
      <c r="E5" s="7" t="s">
        <v>31</v>
      </c>
      <c r="F5" s="7" t="s">
        <v>32</v>
      </c>
      <c r="G5" s="8" t="s">
        <v>24</v>
      </c>
      <c r="H5" s="8" t="s">
        <v>222</v>
      </c>
      <c r="I5" s="8" t="s">
        <v>239</v>
      </c>
      <c r="J5" s="9" t="s">
        <v>26</v>
      </c>
      <c r="K5" s="29" t="s">
        <v>208</v>
      </c>
    </row>
    <row r="6" spans="1:17">
      <c r="A6" s="5">
        <v>4</v>
      </c>
      <c r="B6" s="5" t="s">
        <v>37</v>
      </c>
      <c r="C6" s="10" t="s">
        <v>38</v>
      </c>
      <c r="D6" s="6" t="s">
        <v>39</v>
      </c>
      <c r="E6" s="11" t="s">
        <v>40</v>
      </c>
      <c r="F6" s="7" t="s">
        <v>41</v>
      </c>
      <c r="G6" s="8" t="s">
        <v>42</v>
      </c>
      <c r="H6" s="8" t="s">
        <v>223</v>
      </c>
      <c r="I6" s="8" t="s">
        <v>238</v>
      </c>
      <c r="J6" s="9" t="s">
        <v>44</v>
      </c>
      <c r="K6" s="29" t="s">
        <v>209</v>
      </c>
    </row>
    <row r="7" spans="1:17">
      <c r="A7" s="5">
        <v>5</v>
      </c>
      <c r="B7" s="5" t="s">
        <v>45</v>
      </c>
      <c r="C7" s="10" t="s">
        <v>46</v>
      </c>
      <c r="D7" s="6" t="s">
        <v>47</v>
      </c>
      <c r="E7" s="7" t="s">
        <v>48</v>
      </c>
      <c r="F7" s="7" t="s">
        <v>49</v>
      </c>
      <c r="G7" s="8" t="s">
        <v>50</v>
      </c>
      <c r="H7" s="8" t="s">
        <v>224</v>
      </c>
      <c r="I7" s="8" t="s">
        <v>237</v>
      </c>
      <c r="J7" s="9" t="s">
        <v>52</v>
      </c>
      <c r="K7" s="30" t="s">
        <v>210</v>
      </c>
    </row>
    <row r="8" spans="1:17">
      <c r="A8" s="5">
        <v>6</v>
      </c>
      <c r="B8" s="5" t="s">
        <v>53</v>
      </c>
      <c r="C8" s="10" t="s">
        <v>54</v>
      </c>
      <c r="D8" s="6" t="s">
        <v>190</v>
      </c>
      <c r="E8" s="7" t="s">
        <v>55</v>
      </c>
      <c r="F8" s="7" t="s">
        <v>56</v>
      </c>
      <c r="G8" s="8" t="s">
        <v>50</v>
      </c>
      <c r="H8" s="8" t="s">
        <v>224</v>
      </c>
      <c r="I8" s="8" t="s">
        <v>237</v>
      </c>
      <c r="J8" s="9" t="s">
        <v>52</v>
      </c>
      <c r="K8" s="30" t="s">
        <v>210</v>
      </c>
    </row>
    <row r="9" spans="1:17">
      <c r="A9" s="5">
        <v>7</v>
      </c>
      <c r="B9" s="5" t="s">
        <v>57</v>
      </c>
      <c r="C9" s="10" t="s">
        <v>58</v>
      </c>
      <c r="D9" s="6" t="s">
        <v>241</v>
      </c>
      <c r="E9" s="7" t="s">
        <v>59</v>
      </c>
      <c r="F9" s="7" t="s">
        <v>60</v>
      </c>
      <c r="G9" s="8" t="s">
        <v>61</v>
      </c>
      <c r="H9" s="8" t="s">
        <v>225</v>
      </c>
      <c r="I9" s="8" t="s">
        <v>236</v>
      </c>
      <c r="J9" s="9" t="s">
        <v>63</v>
      </c>
      <c r="K9" s="30" t="s">
        <v>211</v>
      </c>
    </row>
    <row r="10" spans="1:17">
      <c r="A10" s="5">
        <v>8</v>
      </c>
      <c r="B10" s="5" t="s">
        <v>64</v>
      </c>
      <c r="C10" s="13" t="s">
        <v>65</v>
      </c>
      <c r="D10" s="6" t="s">
        <v>66</v>
      </c>
      <c r="E10" s="7" t="s">
        <v>67</v>
      </c>
      <c r="F10" s="7" t="s">
        <v>68</v>
      </c>
      <c r="G10" s="8" t="s">
        <v>61</v>
      </c>
      <c r="H10" s="8" t="s">
        <v>225</v>
      </c>
      <c r="I10" s="8" t="s">
        <v>236</v>
      </c>
      <c r="J10" s="9" t="s">
        <v>63</v>
      </c>
      <c r="K10" s="30" t="s">
        <v>211</v>
      </c>
      <c r="L10">
        <v>767</v>
      </c>
      <c r="N10">
        <v>635</v>
      </c>
      <c r="O10" s="9"/>
      <c r="P10" s="9">
        <v>549</v>
      </c>
      <c r="Q10" s="9"/>
    </row>
    <row r="11" spans="1:17">
      <c r="A11" s="5">
        <v>9</v>
      </c>
      <c r="B11" s="5" t="s">
        <v>69</v>
      </c>
      <c r="C11" s="13" t="s">
        <v>70</v>
      </c>
      <c r="D11" s="6" t="s">
        <v>71</v>
      </c>
      <c r="E11" s="11" t="s">
        <v>72</v>
      </c>
      <c r="F11" s="7" t="s">
        <v>73</v>
      </c>
      <c r="G11" s="8" t="s">
        <v>74</v>
      </c>
      <c r="H11" s="8" t="s">
        <v>226</v>
      </c>
      <c r="I11" s="8" t="s">
        <v>235</v>
      </c>
      <c r="J11" s="9" t="s">
        <v>76</v>
      </c>
      <c r="K11" s="30" t="s">
        <v>212</v>
      </c>
      <c r="L11">
        <f>L10+29</f>
        <v>796</v>
      </c>
      <c r="N11">
        <f>N10+16</f>
        <v>651</v>
      </c>
      <c r="P11">
        <f>P10+16</f>
        <v>565</v>
      </c>
    </row>
    <row r="12" spans="1:17">
      <c r="A12" s="5">
        <v>10</v>
      </c>
      <c r="B12" s="5" t="s">
        <v>77</v>
      </c>
      <c r="C12" s="13" t="s">
        <v>244</v>
      </c>
      <c r="D12" s="14" t="s">
        <v>78</v>
      </c>
      <c r="E12" s="11" t="s">
        <v>79</v>
      </c>
      <c r="F12" s="7" t="s">
        <v>80</v>
      </c>
      <c r="G12" s="8" t="s">
        <v>74</v>
      </c>
      <c r="H12" s="8" t="s">
        <v>226</v>
      </c>
      <c r="I12" s="8" t="s">
        <v>235</v>
      </c>
      <c r="J12" s="9" t="s">
        <v>76</v>
      </c>
      <c r="K12" s="30" t="s">
        <v>212</v>
      </c>
      <c r="L12">
        <f t="shared" ref="L12:L28" si="0">L11+29</f>
        <v>825</v>
      </c>
      <c r="N12">
        <f t="shared" ref="N12:N21" si="1">N11+16</f>
        <v>667</v>
      </c>
      <c r="P12">
        <f t="shared" ref="P12:P28" si="2">P11+16</f>
        <v>581</v>
      </c>
    </row>
    <row r="13" spans="1:17">
      <c r="A13" s="5">
        <v>11</v>
      </c>
      <c r="B13" s="5" t="s">
        <v>81</v>
      </c>
      <c r="C13" s="15" t="s">
        <v>242</v>
      </c>
      <c r="D13" s="14" t="s">
        <v>82</v>
      </c>
      <c r="E13" s="11" t="s">
        <v>83</v>
      </c>
      <c r="F13" s="7" t="s">
        <v>84</v>
      </c>
      <c r="G13" s="8" t="s">
        <v>74</v>
      </c>
      <c r="H13" s="8" t="s">
        <v>226</v>
      </c>
      <c r="I13" s="8" t="s">
        <v>235</v>
      </c>
      <c r="J13" s="9" t="s">
        <v>76</v>
      </c>
      <c r="K13" s="30" t="s">
        <v>212</v>
      </c>
      <c r="L13">
        <f t="shared" si="0"/>
        <v>854</v>
      </c>
      <c r="N13">
        <f t="shared" si="1"/>
        <v>683</v>
      </c>
      <c r="P13">
        <f t="shared" si="2"/>
        <v>597</v>
      </c>
    </row>
    <row r="14" spans="1:17">
      <c r="A14" s="5">
        <v>12</v>
      </c>
      <c r="B14" s="5" t="s">
        <v>85</v>
      </c>
      <c r="C14" s="15" t="s">
        <v>86</v>
      </c>
      <c r="D14" s="14" t="s">
        <v>87</v>
      </c>
      <c r="E14" s="11" t="s">
        <v>88</v>
      </c>
      <c r="F14" s="7" t="s">
        <v>89</v>
      </c>
      <c r="G14" s="8" t="s">
        <v>74</v>
      </c>
      <c r="H14" s="8" t="s">
        <v>226</v>
      </c>
      <c r="I14" s="8" t="s">
        <v>235</v>
      </c>
      <c r="J14" s="9" t="s">
        <v>76</v>
      </c>
      <c r="K14" s="30" t="s">
        <v>212</v>
      </c>
      <c r="L14">
        <f t="shared" si="0"/>
        <v>883</v>
      </c>
      <c r="N14">
        <f t="shared" si="1"/>
        <v>699</v>
      </c>
      <c r="P14">
        <f t="shared" si="2"/>
        <v>613</v>
      </c>
    </row>
    <row r="15" spans="1:17">
      <c r="A15" s="5">
        <v>13</v>
      </c>
      <c r="B15" s="5" t="s">
        <v>92</v>
      </c>
      <c r="C15" s="15" t="s">
        <v>93</v>
      </c>
      <c r="D15" s="14" t="s">
        <v>94</v>
      </c>
      <c r="E15" s="11" t="s">
        <v>95</v>
      </c>
      <c r="F15" s="7" t="s">
        <v>96</v>
      </c>
      <c r="G15" s="8" t="s">
        <v>74</v>
      </c>
      <c r="H15" s="8" t="s">
        <v>226</v>
      </c>
      <c r="I15" s="8" t="s">
        <v>235</v>
      </c>
      <c r="J15" s="9" t="s">
        <v>76</v>
      </c>
      <c r="K15" s="30" t="s">
        <v>212</v>
      </c>
      <c r="L15">
        <f t="shared" si="0"/>
        <v>912</v>
      </c>
      <c r="N15">
        <f t="shared" si="1"/>
        <v>715</v>
      </c>
      <c r="P15">
        <f t="shared" si="2"/>
        <v>629</v>
      </c>
    </row>
    <row r="16" spans="1:17">
      <c r="A16" s="5">
        <v>14</v>
      </c>
      <c r="B16" s="5" t="s">
        <v>100</v>
      </c>
      <c r="C16" s="15" t="s">
        <v>101</v>
      </c>
      <c r="D16" s="14" t="s">
        <v>102</v>
      </c>
      <c r="E16" s="11" t="s">
        <v>103</v>
      </c>
      <c r="F16" s="7" t="s">
        <v>104</v>
      </c>
      <c r="G16" s="9" t="s">
        <v>105</v>
      </c>
      <c r="H16" s="8" t="s">
        <v>227</v>
      </c>
      <c r="I16" s="8" t="s">
        <v>234</v>
      </c>
      <c r="J16" s="9" t="s">
        <v>107</v>
      </c>
      <c r="K16" s="30" t="s">
        <v>213</v>
      </c>
      <c r="L16">
        <f t="shared" si="0"/>
        <v>941</v>
      </c>
      <c r="N16">
        <f t="shared" si="1"/>
        <v>731</v>
      </c>
      <c r="P16">
        <f t="shared" si="2"/>
        <v>645</v>
      </c>
    </row>
    <row r="17" spans="1:16">
      <c r="A17" s="5">
        <v>15</v>
      </c>
      <c r="B17" s="5" t="s">
        <v>108</v>
      </c>
      <c r="C17" s="17" t="s">
        <v>109</v>
      </c>
      <c r="D17" s="14" t="s">
        <v>110</v>
      </c>
      <c r="E17" s="11" t="s">
        <v>111</v>
      </c>
      <c r="F17" s="7" t="s">
        <v>112</v>
      </c>
      <c r="G17" s="9" t="s">
        <v>105</v>
      </c>
      <c r="H17" s="8" t="s">
        <v>227</v>
      </c>
      <c r="I17" s="8" t="s">
        <v>234</v>
      </c>
      <c r="J17" s="9" t="s">
        <v>107</v>
      </c>
      <c r="K17" s="30" t="s">
        <v>213</v>
      </c>
      <c r="L17">
        <f t="shared" si="0"/>
        <v>970</v>
      </c>
      <c r="N17">
        <f>N16+16</f>
        <v>747</v>
      </c>
      <c r="P17">
        <f t="shared" si="2"/>
        <v>661</v>
      </c>
    </row>
    <row r="18" spans="1:16">
      <c r="A18" s="5">
        <v>16</v>
      </c>
      <c r="B18" s="5" t="s">
        <v>113</v>
      </c>
      <c r="C18" s="17" t="s">
        <v>114</v>
      </c>
      <c r="D18" s="14" t="s">
        <v>115</v>
      </c>
      <c r="E18" s="11" t="s">
        <v>116</v>
      </c>
      <c r="F18" s="7" t="s">
        <v>117</v>
      </c>
      <c r="G18" s="9" t="s">
        <v>105</v>
      </c>
      <c r="H18" s="8" t="s">
        <v>227</v>
      </c>
      <c r="I18" s="8" t="s">
        <v>234</v>
      </c>
      <c r="J18" s="9" t="s">
        <v>107</v>
      </c>
      <c r="K18" s="30" t="s">
        <v>213</v>
      </c>
      <c r="L18">
        <f t="shared" si="0"/>
        <v>999</v>
      </c>
      <c r="N18">
        <f t="shared" si="1"/>
        <v>763</v>
      </c>
      <c r="P18">
        <f t="shared" si="2"/>
        <v>677</v>
      </c>
    </row>
    <row r="19" spans="1:16">
      <c r="A19" s="5">
        <v>17</v>
      </c>
      <c r="B19" s="5" t="s">
        <v>118</v>
      </c>
      <c r="C19" s="17" t="s">
        <v>243</v>
      </c>
      <c r="D19" s="14" t="s">
        <v>119</v>
      </c>
      <c r="E19" s="11" t="s">
        <v>120</v>
      </c>
      <c r="F19" s="7" t="s">
        <v>121</v>
      </c>
      <c r="G19" s="9" t="s">
        <v>105</v>
      </c>
      <c r="H19" s="8" t="s">
        <v>227</v>
      </c>
      <c r="I19" s="8" t="s">
        <v>234</v>
      </c>
      <c r="J19" s="9" t="s">
        <v>107</v>
      </c>
      <c r="K19" s="30" t="s">
        <v>213</v>
      </c>
      <c r="L19">
        <f t="shared" si="0"/>
        <v>1028</v>
      </c>
      <c r="N19">
        <f t="shared" si="1"/>
        <v>779</v>
      </c>
      <c r="P19">
        <f t="shared" si="2"/>
        <v>693</v>
      </c>
    </row>
    <row r="20" spans="1:16">
      <c r="A20" s="5">
        <v>18</v>
      </c>
      <c r="B20" s="5" t="s">
        <v>122</v>
      </c>
      <c r="C20" s="18" t="s">
        <v>123</v>
      </c>
      <c r="D20" s="14" t="s">
        <v>124</v>
      </c>
      <c r="E20" s="11" t="s">
        <v>125</v>
      </c>
      <c r="F20" s="7" t="s">
        <v>126</v>
      </c>
      <c r="G20" s="9" t="s">
        <v>127</v>
      </c>
      <c r="H20" s="8" t="s">
        <v>228</v>
      </c>
      <c r="I20" s="8" t="s">
        <v>233</v>
      </c>
      <c r="J20" s="9" t="s">
        <v>129</v>
      </c>
      <c r="K20" s="30" t="s">
        <v>219</v>
      </c>
      <c r="L20">
        <f t="shared" si="0"/>
        <v>1057</v>
      </c>
      <c r="N20">
        <f t="shared" si="1"/>
        <v>795</v>
      </c>
      <c r="P20">
        <f t="shared" si="2"/>
        <v>709</v>
      </c>
    </row>
    <row r="21" spans="1:16" ht="15.75" thickBot="1">
      <c r="A21" s="5">
        <v>19</v>
      </c>
      <c r="B21" s="5" t="s">
        <v>130</v>
      </c>
      <c r="C21" s="17" t="s">
        <v>131</v>
      </c>
      <c r="D21" s="14" t="s">
        <v>132</v>
      </c>
      <c r="E21" s="11" t="s">
        <v>133</v>
      </c>
      <c r="F21" s="7" t="s">
        <v>134</v>
      </c>
      <c r="G21" s="9" t="s">
        <v>127</v>
      </c>
      <c r="H21" s="8" t="s">
        <v>228</v>
      </c>
      <c r="I21" s="8" t="s">
        <v>233</v>
      </c>
      <c r="J21" s="9" t="s">
        <v>129</v>
      </c>
      <c r="K21" s="30" t="s">
        <v>219</v>
      </c>
      <c r="L21">
        <f t="shared" si="0"/>
        <v>1086</v>
      </c>
      <c r="N21">
        <f t="shared" si="1"/>
        <v>811</v>
      </c>
      <c r="P21">
        <f t="shared" si="2"/>
        <v>725</v>
      </c>
    </row>
    <row r="22" spans="1:16">
      <c r="A22" s="5">
        <v>20</v>
      </c>
      <c r="B22" s="5" t="s">
        <v>135</v>
      </c>
      <c r="C22" s="19" t="s">
        <v>136</v>
      </c>
      <c r="D22" s="14" t="s">
        <v>137</v>
      </c>
      <c r="E22" s="11" t="s">
        <v>138</v>
      </c>
      <c r="F22" s="7" t="s">
        <v>139</v>
      </c>
      <c r="G22" s="9" t="s">
        <v>127</v>
      </c>
      <c r="H22" s="8" t="s">
        <v>228</v>
      </c>
      <c r="I22" s="8" t="s">
        <v>233</v>
      </c>
      <c r="J22" s="9" t="s">
        <v>129</v>
      </c>
      <c r="K22" s="30" t="s">
        <v>219</v>
      </c>
      <c r="L22">
        <f t="shared" si="0"/>
        <v>1115</v>
      </c>
      <c r="P22">
        <f t="shared" si="2"/>
        <v>741</v>
      </c>
    </row>
    <row r="23" spans="1:16" ht="15.75" thickBot="1">
      <c r="A23" s="5">
        <v>21</v>
      </c>
      <c r="B23" s="5" t="s">
        <v>140</v>
      </c>
      <c r="C23" s="20" t="s">
        <v>141</v>
      </c>
      <c r="D23" s="14" t="s">
        <v>137</v>
      </c>
      <c r="E23" s="11" t="s">
        <v>138</v>
      </c>
      <c r="F23" s="7" t="s">
        <v>139</v>
      </c>
      <c r="G23" s="9" t="s">
        <v>127</v>
      </c>
      <c r="H23" s="8" t="s">
        <v>228</v>
      </c>
      <c r="I23" s="8" t="s">
        <v>233</v>
      </c>
      <c r="J23" s="9" t="s">
        <v>129</v>
      </c>
      <c r="K23" s="30" t="s">
        <v>219</v>
      </c>
      <c r="L23">
        <f t="shared" si="0"/>
        <v>1144</v>
      </c>
      <c r="P23">
        <f t="shared" si="2"/>
        <v>757</v>
      </c>
    </row>
    <row r="24" spans="1:16">
      <c r="A24" s="5">
        <v>22</v>
      </c>
      <c r="B24" s="5" t="s">
        <v>142</v>
      </c>
      <c r="C24" s="19" t="s">
        <v>143</v>
      </c>
      <c r="D24" s="14" t="s">
        <v>144</v>
      </c>
      <c r="E24" s="11" t="s">
        <v>145</v>
      </c>
      <c r="F24" s="7" t="s">
        <v>146</v>
      </c>
      <c r="G24" s="9" t="s">
        <v>127</v>
      </c>
      <c r="H24" s="8" t="s">
        <v>228</v>
      </c>
      <c r="I24" s="8" t="s">
        <v>233</v>
      </c>
      <c r="J24" s="9" t="s">
        <v>129</v>
      </c>
      <c r="K24" s="30" t="s">
        <v>219</v>
      </c>
      <c r="L24">
        <f t="shared" si="0"/>
        <v>1173</v>
      </c>
      <c r="P24">
        <f t="shared" si="2"/>
        <v>773</v>
      </c>
    </row>
    <row r="25" spans="1:16" ht="15.75" thickBot="1">
      <c r="A25" s="5">
        <v>23</v>
      </c>
      <c r="B25" s="5" t="s">
        <v>147</v>
      </c>
      <c r="C25" s="20" t="s">
        <v>148</v>
      </c>
      <c r="D25" s="14" t="s">
        <v>144</v>
      </c>
      <c r="E25" s="11" t="s">
        <v>145</v>
      </c>
      <c r="F25" s="7" t="s">
        <v>146</v>
      </c>
      <c r="G25" s="9" t="s">
        <v>127</v>
      </c>
      <c r="H25" s="8" t="s">
        <v>228</v>
      </c>
      <c r="I25" s="8" t="s">
        <v>233</v>
      </c>
      <c r="J25" s="9" t="s">
        <v>129</v>
      </c>
      <c r="K25" s="30" t="s">
        <v>219</v>
      </c>
      <c r="L25">
        <f t="shared" si="0"/>
        <v>1202</v>
      </c>
      <c r="P25">
        <f t="shared" si="2"/>
        <v>789</v>
      </c>
    </row>
    <row r="26" spans="1:16" ht="15.75" thickBot="1">
      <c r="A26" s="5">
        <v>24</v>
      </c>
      <c r="B26" s="5" t="s">
        <v>149</v>
      </c>
      <c r="C26" s="20" t="s">
        <v>150</v>
      </c>
      <c r="D26" s="21" t="s">
        <v>151</v>
      </c>
      <c r="E26" s="11" t="s">
        <v>152</v>
      </c>
      <c r="F26" s="7" t="s">
        <v>153</v>
      </c>
      <c r="G26" s="9" t="s">
        <v>154</v>
      </c>
      <c r="H26" s="8" t="s">
        <v>229</v>
      </c>
      <c r="I26" s="8" t="s">
        <v>232</v>
      </c>
      <c r="J26" s="9" t="s">
        <v>156</v>
      </c>
      <c r="K26" s="30" t="s">
        <v>215</v>
      </c>
      <c r="L26">
        <f t="shared" si="0"/>
        <v>1231</v>
      </c>
      <c r="P26">
        <f t="shared" si="2"/>
        <v>805</v>
      </c>
    </row>
    <row r="27" spans="1:16">
      <c r="A27" s="5">
        <v>25</v>
      </c>
      <c r="B27" s="22"/>
      <c r="C27" s="21"/>
      <c r="D27" s="14" t="s">
        <v>157</v>
      </c>
      <c r="E27" s="11" t="s">
        <v>158</v>
      </c>
      <c r="F27" s="7" t="s">
        <v>159</v>
      </c>
      <c r="G27" s="23" t="s">
        <v>154</v>
      </c>
      <c r="H27" s="24" t="s">
        <v>229</v>
      </c>
      <c r="I27" s="8" t="s">
        <v>232</v>
      </c>
      <c r="J27" s="9" t="s">
        <v>156</v>
      </c>
      <c r="K27" s="30" t="s">
        <v>215</v>
      </c>
      <c r="L27">
        <f t="shared" si="0"/>
        <v>1260</v>
      </c>
      <c r="P27">
        <f t="shared" si="2"/>
        <v>821</v>
      </c>
    </row>
    <row r="28" spans="1:16">
      <c r="A28" s="5">
        <v>26</v>
      </c>
      <c r="B28" s="5" t="s">
        <v>160</v>
      </c>
      <c r="C28" s="21" t="s">
        <v>161</v>
      </c>
      <c r="D28" s="21" t="s">
        <v>162</v>
      </c>
      <c r="E28" s="11" t="s">
        <v>163</v>
      </c>
      <c r="F28" s="7" t="s">
        <v>164</v>
      </c>
      <c r="G28" s="9" t="s">
        <v>154</v>
      </c>
      <c r="H28" s="9" t="s">
        <v>229</v>
      </c>
      <c r="I28" s="9" t="s">
        <v>232</v>
      </c>
      <c r="J28" s="9" t="s">
        <v>156</v>
      </c>
      <c r="K28" s="30" t="s">
        <v>215</v>
      </c>
      <c r="L28">
        <f t="shared" si="0"/>
        <v>1289</v>
      </c>
      <c r="P28">
        <f t="shared" si="2"/>
        <v>837</v>
      </c>
    </row>
    <row r="29" spans="1:16">
      <c r="A29" s="5">
        <v>27</v>
      </c>
      <c r="B29" s="22" t="s">
        <v>165</v>
      </c>
      <c r="C29" s="21"/>
      <c r="D29" s="14" t="s">
        <v>166</v>
      </c>
      <c r="E29" s="11" t="s">
        <v>167</v>
      </c>
      <c r="F29" s="7" t="s">
        <v>168</v>
      </c>
      <c r="G29" s="9" t="s">
        <v>154</v>
      </c>
      <c r="H29" s="9" t="s">
        <v>229</v>
      </c>
      <c r="I29" s="9" t="s">
        <v>232</v>
      </c>
      <c r="J29" s="9" t="s">
        <v>156</v>
      </c>
      <c r="K29" s="30" t="s">
        <v>215</v>
      </c>
    </row>
    <row r="30" spans="1:16" ht="15.75" thickBot="1">
      <c r="A30" s="5">
        <v>28</v>
      </c>
      <c r="B30" s="22" t="s">
        <v>169</v>
      </c>
      <c r="C30" s="18" t="s">
        <v>170</v>
      </c>
      <c r="D30" s="15" t="s">
        <v>171</v>
      </c>
      <c r="E30" s="11" t="s">
        <v>172</v>
      </c>
      <c r="F30" s="7" t="s">
        <v>173</v>
      </c>
      <c r="G30" s="9" t="s">
        <v>174</v>
      </c>
      <c r="H30" s="9" t="s">
        <v>230</v>
      </c>
      <c r="I30" s="9" t="s">
        <v>231</v>
      </c>
      <c r="J30" s="9" t="s">
        <v>176</v>
      </c>
      <c r="K30" s="30" t="s">
        <v>216</v>
      </c>
    </row>
    <row r="31" spans="1:16">
      <c r="A31" s="5">
        <v>29</v>
      </c>
      <c r="B31" s="5" t="s">
        <v>177</v>
      </c>
      <c r="C31" s="19" t="s">
        <v>178</v>
      </c>
      <c r="D31" s="6" t="s">
        <v>191</v>
      </c>
      <c r="E31" s="11" t="s">
        <v>179</v>
      </c>
      <c r="F31" s="7" t="s">
        <v>180</v>
      </c>
      <c r="G31" s="9" t="s">
        <v>174</v>
      </c>
      <c r="H31" s="9" t="s">
        <v>230</v>
      </c>
      <c r="I31" s="9" t="s">
        <v>231</v>
      </c>
      <c r="J31" s="9" t="s">
        <v>176</v>
      </c>
      <c r="K31" s="30" t="s">
        <v>216</v>
      </c>
    </row>
    <row r="32" spans="1:16">
      <c r="A32" s="5">
        <v>30</v>
      </c>
      <c r="B32" s="22" t="s">
        <v>181</v>
      </c>
      <c r="C32" s="25" t="s">
        <v>182</v>
      </c>
      <c r="D32" s="6" t="s">
        <v>191</v>
      </c>
      <c r="E32" s="11" t="s">
        <v>179</v>
      </c>
      <c r="F32" s="7" t="s">
        <v>180</v>
      </c>
      <c r="G32" s="9" t="s">
        <v>174</v>
      </c>
      <c r="H32" s="9" t="s">
        <v>230</v>
      </c>
      <c r="I32" s="9" t="s">
        <v>231</v>
      </c>
      <c r="J32" s="9" t="s">
        <v>176</v>
      </c>
      <c r="K32" s="30" t="s">
        <v>216</v>
      </c>
    </row>
    <row r="33" spans="1:11" ht="15.75" thickBot="1">
      <c r="A33" s="5">
        <v>31</v>
      </c>
      <c r="B33" s="22" t="s">
        <v>183</v>
      </c>
      <c r="C33" s="20" t="s">
        <v>184</v>
      </c>
      <c r="D33" s="15" t="s">
        <v>191</v>
      </c>
      <c r="E33" s="11" t="s">
        <v>179</v>
      </c>
      <c r="F33" s="7" t="s">
        <v>180</v>
      </c>
      <c r="G33" s="9" t="s">
        <v>174</v>
      </c>
      <c r="H33" s="9" t="s">
        <v>230</v>
      </c>
      <c r="I33" s="9" t="s">
        <v>231</v>
      </c>
      <c r="J33" s="9" t="s">
        <v>176</v>
      </c>
      <c r="K33" s="30" t="s">
        <v>216</v>
      </c>
    </row>
    <row r="34" spans="1:11">
      <c r="A34" s="5">
        <v>32</v>
      </c>
      <c r="B34" s="22" t="s">
        <v>185</v>
      </c>
      <c r="C34" s="26" t="s">
        <v>186</v>
      </c>
      <c r="D34" s="5" t="s">
        <v>187</v>
      </c>
      <c r="E34" s="11" t="s">
        <v>188</v>
      </c>
      <c r="F34" s="5" t="s">
        <v>189</v>
      </c>
      <c r="G34" s="9" t="s">
        <v>174</v>
      </c>
      <c r="H34" s="9" t="s">
        <v>230</v>
      </c>
      <c r="I34" s="9" t="s">
        <v>231</v>
      </c>
      <c r="J34" s="9" t="s">
        <v>176</v>
      </c>
      <c r="K34" s="30" t="s">
        <v>216</v>
      </c>
    </row>
    <row r="35" spans="1:11">
      <c r="A35" s="27"/>
      <c r="B35" s="27"/>
      <c r="F35" s="28"/>
    </row>
    <row r="36" spans="1:11">
      <c r="A36" s="27"/>
      <c r="B36" s="27"/>
      <c r="F36" s="28"/>
    </row>
    <row r="37" spans="1:11">
      <c r="A37" s="27"/>
      <c r="B37" s="27"/>
      <c r="F37" s="28"/>
    </row>
    <row r="38" spans="1:11">
      <c r="A38" s="27"/>
      <c r="B38" s="27"/>
      <c r="F38" s="28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D33" sqref="D33"/>
    </sheetView>
  </sheetViews>
  <sheetFormatPr defaultRowHeight="15"/>
  <sheetData>
    <row r="1" spans="1:4">
      <c r="A1" s="3" t="s">
        <v>27</v>
      </c>
      <c r="B1" s="9"/>
      <c r="C1" s="9"/>
      <c r="D1" s="9"/>
    </row>
    <row r="2" spans="1:4">
      <c r="A2" s="8" t="s">
        <v>33</v>
      </c>
      <c r="B2" s="8" t="s">
        <v>34</v>
      </c>
      <c r="C2" s="8" t="s">
        <v>35</v>
      </c>
      <c r="D2" s="8" t="s">
        <v>36</v>
      </c>
    </row>
    <row r="3" spans="1:4">
      <c r="A3" s="9">
        <v>1</v>
      </c>
      <c r="B3" s="9">
        <v>3500</v>
      </c>
      <c r="C3" s="9">
        <v>1218</v>
      </c>
      <c r="D3" s="12">
        <v>0.55410000000000004</v>
      </c>
    </row>
    <row r="4" spans="1:4">
      <c r="A4" s="9">
        <v>3501</v>
      </c>
      <c r="B4" s="9">
        <v>6500</v>
      </c>
      <c r="C4" s="9">
        <v>1939</v>
      </c>
      <c r="D4" s="12">
        <v>0.41560000000000002</v>
      </c>
    </row>
    <row r="5" spans="1:4">
      <c r="A5" s="9">
        <v>6501</v>
      </c>
      <c r="B5" s="9">
        <v>9500</v>
      </c>
      <c r="C5" s="9">
        <v>2701</v>
      </c>
      <c r="D5" s="12">
        <v>0.33239999999999997</v>
      </c>
    </row>
    <row r="6" spans="1:4">
      <c r="A6" s="9">
        <v>9501</v>
      </c>
      <c r="B6" s="9">
        <v>10000000</v>
      </c>
      <c r="C6" s="9">
        <v>3158</v>
      </c>
      <c r="D6" s="12">
        <v>0.27700000000000002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selection activeCell="E32" sqref="E32"/>
    </sheetView>
  </sheetViews>
  <sheetFormatPr defaultRowHeight="15"/>
  <sheetData>
    <row r="1" spans="1:3">
      <c r="A1" s="32" t="s">
        <v>90</v>
      </c>
      <c r="B1" s="32"/>
      <c r="C1" s="32"/>
    </row>
    <row r="2" spans="1:3">
      <c r="A2" s="16" t="s">
        <v>97</v>
      </c>
      <c r="B2" s="16" t="s">
        <v>98</v>
      </c>
      <c r="C2" s="16" t="s">
        <v>99</v>
      </c>
    </row>
    <row r="3" spans="1:3">
      <c r="A3" s="16">
        <v>0</v>
      </c>
      <c r="B3" s="16">
        <v>579</v>
      </c>
      <c r="C3" s="16">
        <v>35.1</v>
      </c>
    </row>
    <row r="4" spans="1:3">
      <c r="A4" s="16">
        <v>580</v>
      </c>
      <c r="B4" s="16">
        <v>599</v>
      </c>
      <c r="C4" s="16">
        <v>40.1</v>
      </c>
    </row>
    <row r="5" spans="1:3">
      <c r="A5" s="16">
        <v>600</v>
      </c>
      <c r="B5" s="16">
        <v>609</v>
      </c>
      <c r="C5" s="16">
        <v>42.6</v>
      </c>
    </row>
    <row r="6" spans="1:3">
      <c r="A6" s="16">
        <v>610</v>
      </c>
      <c r="B6" s="16">
        <v>619</v>
      </c>
      <c r="C6" s="16">
        <v>45.1</v>
      </c>
    </row>
    <row r="7" spans="1:3">
      <c r="A7" s="16">
        <v>620</v>
      </c>
      <c r="B7" s="16">
        <v>629</v>
      </c>
      <c r="C7" s="16">
        <v>42.6</v>
      </c>
    </row>
    <row r="8" spans="1:3">
      <c r="A8" s="16">
        <v>630</v>
      </c>
      <c r="B8" s="16">
        <v>707</v>
      </c>
      <c r="C8" s="16">
        <v>45.1</v>
      </c>
    </row>
    <row r="9" spans="1:3">
      <c r="A9" s="16">
        <v>708</v>
      </c>
      <c r="B9" s="16">
        <v>718</v>
      </c>
      <c r="C9" s="16">
        <v>47.6</v>
      </c>
    </row>
    <row r="10" spans="1:3">
      <c r="A10" s="16">
        <v>719</v>
      </c>
      <c r="B10" s="16">
        <v>730</v>
      </c>
      <c r="C10" s="16">
        <v>50.1</v>
      </c>
    </row>
    <row r="11" spans="1:3">
      <c r="A11" s="16">
        <v>731</v>
      </c>
      <c r="B11" s="16">
        <v>741</v>
      </c>
      <c r="C11" s="16">
        <v>52.6</v>
      </c>
    </row>
    <row r="12" spans="1:3">
      <c r="A12" s="16">
        <v>742</v>
      </c>
      <c r="B12" s="16">
        <v>769</v>
      </c>
      <c r="C12" s="16">
        <v>55.1</v>
      </c>
    </row>
    <row r="13" spans="1:3">
      <c r="A13" s="16">
        <v>770</v>
      </c>
      <c r="B13" s="16">
        <v>844</v>
      </c>
      <c r="C13" s="16">
        <v>50.1</v>
      </c>
    </row>
    <row r="14" spans="1:3">
      <c r="A14" s="16">
        <v>845</v>
      </c>
      <c r="B14" s="16">
        <v>869</v>
      </c>
      <c r="C14" s="16">
        <v>52.6</v>
      </c>
    </row>
    <row r="15" spans="1:3">
      <c r="A15" s="16">
        <v>870</v>
      </c>
      <c r="B15" s="16">
        <v>1004</v>
      </c>
      <c r="C15" s="16">
        <v>47.6</v>
      </c>
    </row>
    <row r="16" spans="1:3">
      <c r="A16" s="16">
        <v>1005</v>
      </c>
      <c r="B16" s="16">
        <v>1020</v>
      </c>
      <c r="C16" s="16">
        <v>50.1</v>
      </c>
    </row>
    <row r="17" spans="1:3">
      <c r="A17" s="16">
        <v>1021</v>
      </c>
      <c r="B17" s="16">
        <v>1036</v>
      </c>
      <c r="C17" s="16">
        <v>52.6</v>
      </c>
    </row>
    <row r="18" spans="1:3">
      <c r="A18" s="16">
        <v>1037</v>
      </c>
      <c r="B18" s="16">
        <v>1052</v>
      </c>
      <c r="C18" s="16">
        <v>55.1</v>
      </c>
    </row>
    <row r="19" spans="1:3">
      <c r="A19" s="16">
        <v>1053</v>
      </c>
      <c r="B19" s="16">
        <v>1068</v>
      </c>
      <c r="C19" s="16">
        <v>57.6</v>
      </c>
    </row>
    <row r="20" spans="1:3">
      <c r="A20" s="16">
        <v>1069</v>
      </c>
      <c r="B20" s="16">
        <v>10000000</v>
      </c>
      <c r="C20" s="16">
        <v>60.1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C15" sqref="C15"/>
    </sheetView>
  </sheetViews>
  <sheetFormatPr defaultRowHeight="15"/>
  <cols>
    <col min="1" max="1" width="6.42578125" bestFit="1" customWidth="1"/>
    <col min="3" max="3" width="43.85546875" customWidth="1"/>
  </cols>
  <sheetData>
    <row r="1" spans="1:3">
      <c r="A1" s="32" t="s">
        <v>91</v>
      </c>
      <c r="B1" s="32"/>
      <c r="C1" s="32"/>
    </row>
    <row r="2" spans="1:3">
      <c r="A2" s="16" t="s">
        <v>97</v>
      </c>
      <c r="B2" s="16" t="s">
        <v>98</v>
      </c>
      <c r="C2" s="16" t="s">
        <v>99</v>
      </c>
    </row>
    <row r="3" spans="1:3">
      <c r="A3" s="16">
        <v>325</v>
      </c>
      <c r="B3" s="16">
        <v>400</v>
      </c>
      <c r="C3" s="16">
        <v>83</v>
      </c>
    </row>
    <row r="4" spans="1:3">
      <c r="A4" s="16">
        <v>401</v>
      </c>
      <c r="B4" s="16">
        <v>500</v>
      </c>
      <c r="C4" s="16">
        <v>93</v>
      </c>
    </row>
    <row r="5" spans="1:3">
      <c r="A5" s="16">
        <v>501</v>
      </c>
      <c r="B5" s="16">
        <v>600</v>
      </c>
      <c r="C5" s="16">
        <v>100</v>
      </c>
    </row>
    <row r="6" spans="1:3">
      <c r="A6" s="16">
        <v>601</v>
      </c>
      <c r="B6" s="16">
        <v>700</v>
      </c>
      <c r="C6" s="16">
        <v>110</v>
      </c>
    </row>
    <row r="7" spans="1:3">
      <c r="A7" s="16">
        <v>701</v>
      </c>
      <c r="B7" s="16">
        <v>10000000</v>
      </c>
      <c r="C7" s="16">
        <v>125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D17" sqref="D17"/>
    </sheetView>
  </sheetViews>
  <sheetFormatPr defaultRowHeight="15"/>
  <cols>
    <col min="1" max="1" width="17.7109375" bestFit="1" customWidth="1"/>
  </cols>
  <sheetData>
    <row r="1" spans="1:3">
      <c r="A1" s="32" t="s">
        <v>192</v>
      </c>
      <c r="B1" s="32"/>
      <c r="C1" s="32"/>
    </row>
    <row r="2" spans="1:3">
      <c r="A2" s="9" t="s">
        <v>97</v>
      </c>
      <c r="B2" s="9" t="s">
        <v>98</v>
      </c>
      <c r="C2" s="9" t="s">
        <v>193</v>
      </c>
    </row>
    <row r="3" spans="1:3">
      <c r="A3" s="9">
        <v>0</v>
      </c>
      <c r="B3" s="9">
        <v>1458</v>
      </c>
      <c r="C3" s="9">
        <v>140</v>
      </c>
    </row>
    <row r="4" spans="1:3">
      <c r="A4" s="9">
        <v>1459</v>
      </c>
      <c r="B4" s="9">
        <v>1589</v>
      </c>
      <c r="C4" s="9">
        <v>150</v>
      </c>
    </row>
    <row r="5" spans="1:3">
      <c r="A5" s="9">
        <v>1590</v>
      </c>
      <c r="B5" s="9">
        <v>1700</v>
      </c>
      <c r="C5" s="9">
        <v>200</v>
      </c>
    </row>
    <row r="6" spans="1:3">
      <c r="A6" s="9">
        <v>1701</v>
      </c>
      <c r="B6" s="9">
        <v>1779</v>
      </c>
      <c r="C6" s="9">
        <v>260</v>
      </c>
    </row>
    <row r="7" spans="1:3">
      <c r="A7" s="9">
        <v>1780</v>
      </c>
      <c r="B7" s="9">
        <v>1910</v>
      </c>
      <c r="C7" s="9">
        <v>380</v>
      </c>
    </row>
    <row r="8" spans="1:3">
      <c r="A8" s="9">
        <v>1911</v>
      </c>
      <c r="B8" s="9">
        <v>2218</v>
      </c>
      <c r="C8" s="9">
        <v>440</v>
      </c>
    </row>
    <row r="9" spans="1:3">
      <c r="A9" s="9">
        <v>2219</v>
      </c>
      <c r="B9" s="9">
        <v>2418</v>
      </c>
      <c r="C9" s="9">
        <v>460</v>
      </c>
    </row>
    <row r="10" spans="1:3">
      <c r="A10" s="9">
        <v>2419</v>
      </c>
      <c r="B10" s="9">
        <v>2618</v>
      </c>
      <c r="C10" s="9">
        <v>480</v>
      </c>
    </row>
    <row r="11" spans="1:3">
      <c r="A11" s="9">
        <v>2619</v>
      </c>
      <c r="B11" s="9">
        <v>2700</v>
      </c>
      <c r="C11" s="9">
        <v>500</v>
      </c>
    </row>
    <row r="12" spans="1:3">
      <c r="A12" s="9">
        <v>2701</v>
      </c>
      <c r="B12" s="9">
        <v>10000000</v>
      </c>
      <c r="C12" s="9">
        <v>520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9"/>
  <sheetViews>
    <sheetView zoomScale="115" zoomScaleNormal="115" workbookViewId="0">
      <selection sqref="A1:K1"/>
    </sheetView>
  </sheetViews>
  <sheetFormatPr defaultRowHeight="15"/>
  <cols>
    <col min="1" max="1" width="16.5703125" bestFit="1" customWidth="1"/>
    <col min="2" max="6" width="11.7109375" bestFit="1" customWidth="1"/>
    <col min="7" max="7" width="20" customWidth="1"/>
    <col min="8" max="11" width="11.7109375" bestFit="1" customWidth="1"/>
  </cols>
  <sheetData>
    <row r="1" spans="1:11">
      <c r="A1" s="32" t="s">
        <v>217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>
      <c r="A2" s="9" t="s">
        <v>194</v>
      </c>
      <c r="B2" s="9" t="s">
        <v>17</v>
      </c>
      <c r="C2" s="9" t="s">
        <v>25</v>
      </c>
      <c r="D2" s="9" t="s">
        <v>43</v>
      </c>
      <c r="E2" s="9" t="s">
        <v>51</v>
      </c>
      <c r="F2" s="9" t="s">
        <v>62</v>
      </c>
      <c r="G2" s="9" t="s">
        <v>75</v>
      </c>
      <c r="H2" s="9" t="s">
        <v>106</v>
      </c>
      <c r="I2" s="9" t="s">
        <v>128</v>
      </c>
      <c r="J2" s="9" t="s">
        <v>155</v>
      </c>
      <c r="K2" s="9" t="s">
        <v>175</v>
      </c>
    </row>
    <row r="3" spans="1:11">
      <c r="A3" s="9" t="s">
        <v>195</v>
      </c>
      <c r="B3" s="9" t="s">
        <v>197</v>
      </c>
      <c r="C3" s="9" t="s">
        <v>198</v>
      </c>
      <c r="D3" s="9" t="s">
        <v>44</v>
      </c>
      <c r="E3" s="9" t="s">
        <v>199</v>
      </c>
      <c r="F3" s="9" t="s">
        <v>200</v>
      </c>
      <c r="G3" s="9" t="s">
        <v>201</v>
      </c>
      <c r="H3" s="9" t="s">
        <v>202</v>
      </c>
      <c r="I3" s="9" t="s">
        <v>203</v>
      </c>
      <c r="J3" s="9" t="s">
        <v>204</v>
      </c>
      <c r="K3" s="9" t="s">
        <v>205</v>
      </c>
    </row>
    <row r="4" spans="1:11">
      <c r="A4" s="9" t="s">
        <v>196</v>
      </c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9</v>
      </c>
      <c r="K4" s="9">
        <v>10</v>
      </c>
    </row>
    <row r="5" spans="1:11">
      <c r="A5" s="9">
        <v>1</v>
      </c>
      <c r="B5" s="9">
        <v>20900</v>
      </c>
      <c r="C5" s="9">
        <v>21800</v>
      </c>
      <c r="D5" s="9">
        <v>22300</v>
      </c>
      <c r="E5" s="9">
        <v>23100</v>
      </c>
      <c r="F5" s="9">
        <v>24200</v>
      </c>
      <c r="G5" s="9">
        <v>25200</v>
      </c>
      <c r="H5" s="9">
        <v>27400</v>
      </c>
      <c r="I5" s="9">
        <v>29600</v>
      </c>
      <c r="J5" s="9">
        <v>32500</v>
      </c>
      <c r="K5" s="9">
        <v>36500</v>
      </c>
    </row>
    <row r="6" spans="1:11">
      <c r="A6" s="9">
        <v>2</v>
      </c>
      <c r="B6" s="9">
        <v>21500</v>
      </c>
      <c r="C6" s="9">
        <v>22500</v>
      </c>
      <c r="D6" s="9">
        <v>23000</v>
      </c>
      <c r="E6" s="9">
        <v>23800</v>
      </c>
      <c r="F6" s="9">
        <v>24900</v>
      </c>
      <c r="G6" s="9">
        <v>26000</v>
      </c>
      <c r="H6" s="9">
        <v>28200</v>
      </c>
      <c r="I6" s="9">
        <v>30500</v>
      </c>
      <c r="J6" s="9">
        <v>33500</v>
      </c>
      <c r="K6" s="9">
        <v>37600</v>
      </c>
    </row>
    <row r="7" spans="1:11">
      <c r="A7" s="9">
        <v>3</v>
      </c>
      <c r="B7" s="9">
        <v>22100</v>
      </c>
      <c r="C7" s="9">
        <v>23200</v>
      </c>
      <c r="D7" s="9">
        <v>23700</v>
      </c>
      <c r="E7" s="9">
        <v>24500</v>
      </c>
      <c r="F7" s="9">
        <v>25600</v>
      </c>
      <c r="G7" s="9">
        <v>26800</v>
      </c>
      <c r="H7" s="9">
        <v>29000</v>
      </c>
      <c r="I7" s="9">
        <v>31400</v>
      </c>
      <c r="J7" s="9">
        <v>34500</v>
      </c>
      <c r="K7" s="9">
        <v>38700</v>
      </c>
    </row>
    <row r="8" spans="1:11">
      <c r="A8" s="9">
        <v>4</v>
      </c>
      <c r="B8" s="9">
        <v>22800</v>
      </c>
      <c r="C8" s="9">
        <v>23900</v>
      </c>
      <c r="D8" s="9">
        <v>24400</v>
      </c>
      <c r="E8" s="9">
        <v>25200</v>
      </c>
      <c r="F8" s="9">
        <v>26400</v>
      </c>
      <c r="G8" s="9">
        <v>27600</v>
      </c>
      <c r="H8" s="9">
        <v>29900</v>
      </c>
      <c r="I8" s="9">
        <v>32300</v>
      </c>
      <c r="J8" s="9">
        <v>35500</v>
      </c>
      <c r="K8" s="9">
        <v>39900</v>
      </c>
    </row>
    <row r="9" spans="1:11">
      <c r="A9" s="9">
        <v>5</v>
      </c>
      <c r="B9" s="9">
        <v>23500</v>
      </c>
      <c r="C9" s="9">
        <v>24600</v>
      </c>
      <c r="D9" s="9">
        <v>25100</v>
      </c>
      <c r="E9" s="9">
        <v>26000</v>
      </c>
      <c r="F9" s="9">
        <v>27200</v>
      </c>
      <c r="G9" s="9">
        <v>28400</v>
      </c>
      <c r="H9" s="9">
        <v>30800</v>
      </c>
      <c r="I9" s="9">
        <v>33300</v>
      </c>
      <c r="J9" s="9">
        <v>36600</v>
      </c>
      <c r="K9" s="9">
        <v>41100</v>
      </c>
    </row>
    <row r="10" spans="1:11">
      <c r="A10" s="9">
        <v>6</v>
      </c>
      <c r="B10" s="9">
        <v>24200</v>
      </c>
      <c r="C10" s="9">
        <v>25300</v>
      </c>
      <c r="D10" s="9">
        <v>25900</v>
      </c>
      <c r="E10" s="9">
        <v>26800</v>
      </c>
      <c r="F10" s="9">
        <v>28000</v>
      </c>
      <c r="G10" s="9">
        <v>29300</v>
      </c>
      <c r="H10" s="9">
        <v>31700</v>
      </c>
      <c r="I10" s="9">
        <v>34300</v>
      </c>
      <c r="J10" s="9">
        <v>37700</v>
      </c>
      <c r="K10" s="9">
        <v>42300</v>
      </c>
    </row>
    <row r="11" spans="1:11">
      <c r="A11" s="9">
        <v>7</v>
      </c>
      <c r="B11" s="9">
        <v>24900</v>
      </c>
      <c r="C11" s="9">
        <v>26100</v>
      </c>
      <c r="D11" s="9">
        <v>26700</v>
      </c>
      <c r="E11" s="9">
        <v>27600</v>
      </c>
      <c r="F11" s="9">
        <v>28800</v>
      </c>
      <c r="G11" s="9">
        <v>30200</v>
      </c>
      <c r="H11" s="9">
        <v>32700</v>
      </c>
      <c r="I11" s="9">
        <v>35300</v>
      </c>
      <c r="J11" s="9">
        <v>38800</v>
      </c>
      <c r="K11" s="9">
        <v>43600</v>
      </c>
    </row>
    <row r="12" spans="1:11">
      <c r="A12" s="9">
        <v>8</v>
      </c>
      <c r="B12" s="9">
        <v>25600</v>
      </c>
      <c r="C12" s="9">
        <v>26900</v>
      </c>
      <c r="D12" s="9">
        <v>27500</v>
      </c>
      <c r="E12" s="9">
        <v>28400</v>
      </c>
      <c r="F12" s="9">
        <v>29700</v>
      </c>
      <c r="G12" s="9">
        <v>31100</v>
      </c>
      <c r="H12" s="9">
        <v>33700</v>
      </c>
      <c r="I12" s="9">
        <v>36400</v>
      </c>
      <c r="J12" s="9">
        <v>40000</v>
      </c>
      <c r="K12" s="9">
        <v>44900</v>
      </c>
    </row>
    <row r="13" spans="1:11">
      <c r="A13" s="9">
        <v>9</v>
      </c>
      <c r="B13" s="9">
        <v>26400</v>
      </c>
      <c r="C13" s="9">
        <v>27700</v>
      </c>
      <c r="D13" s="9">
        <v>28300</v>
      </c>
      <c r="E13" s="9">
        <v>29300</v>
      </c>
      <c r="F13" s="9">
        <v>30600</v>
      </c>
      <c r="G13" s="9">
        <v>32000</v>
      </c>
      <c r="H13" s="9">
        <v>34700</v>
      </c>
      <c r="I13" s="9">
        <v>37500</v>
      </c>
      <c r="J13" s="9">
        <v>41200</v>
      </c>
      <c r="K13" s="9">
        <v>46200</v>
      </c>
    </row>
    <row r="14" spans="1:11">
      <c r="A14" s="9">
        <v>10</v>
      </c>
      <c r="B14" s="9">
        <v>27200</v>
      </c>
      <c r="C14" s="9">
        <v>28500</v>
      </c>
      <c r="D14" s="9">
        <v>29100</v>
      </c>
      <c r="E14" s="9">
        <v>30200</v>
      </c>
      <c r="F14" s="9">
        <v>31500</v>
      </c>
      <c r="G14" s="9">
        <v>33000</v>
      </c>
      <c r="H14" s="9">
        <v>35700</v>
      </c>
      <c r="I14" s="9">
        <v>38600</v>
      </c>
      <c r="J14" s="9">
        <v>42400</v>
      </c>
      <c r="K14" s="9">
        <v>47600</v>
      </c>
    </row>
    <row r="15" spans="1:11">
      <c r="A15" s="9">
        <v>11</v>
      </c>
      <c r="B15" s="9">
        <v>28000</v>
      </c>
      <c r="C15" s="9">
        <v>29400</v>
      </c>
      <c r="D15" s="9">
        <v>30000</v>
      </c>
      <c r="E15" s="9">
        <v>31100</v>
      </c>
      <c r="F15" s="9">
        <v>32400</v>
      </c>
      <c r="G15" s="9">
        <v>34000</v>
      </c>
      <c r="H15" s="9">
        <v>36800</v>
      </c>
      <c r="I15" s="9">
        <v>39800</v>
      </c>
      <c r="J15" s="9">
        <v>43700</v>
      </c>
      <c r="K15" s="9">
        <v>49000</v>
      </c>
    </row>
    <row r="16" spans="1:11">
      <c r="A16" s="9">
        <v>12</v>
      </c>
      <c r="B16" s="9">
        <v>28800</v>
      </c>
      <c r="C16" s="9">
        <v>30300</v>
      </c>
      <c r="D16" s="9">
        <v>30900</v>
      </c>
      <c r="E16" s="9">
        <v>32000</v>
      </c>
      <c r="F16" s="9">
        <v>33400</v>
      </c>
      <c r="G16" s="9">
        <v>35000</v>
      </c>
      <c r="H16" s="9">
        <v>37900</v>
      </c>
      <c r="I16" s="9">
        <v>41000</v>
      </c>
      <c r="J16" s="9">
        <v>45000</v>
      </c>
      <c r="K16" s="9">
        <v>50500</v>
      </c>
    </row>
    <row r="17" spans="1:11">
      <c r="A17" s="9">
        <v>13</v>
      </c>
      <c r="B17" s="9">
        <v>29700</v>
      </c>
      <c r="C17" s="9">
        <v>31200</v>
      </c>
      <c r="D17" s="9">
        <v>31800</v>
      </c>
      <c r="E17" s="9">
        <v>33000</v>
      </c>
      <c r="F17" s="9">
        <v>34400</v>
      </c>
      <c r="G17" s="9">
        <v>36100</v>
      </c>
      <c r="H17" s="9">
        <v>39000</v>
      </c>
      <c r="I17" s="9">
        <v>42200</v>
      </c>
      <c r="J17" s="9">
        <v>46400</v>
      </c>
      <c r="K17" s="9">
        <v>52000</v>
      </c>
    </row>
    <row r="18" spans="1:11">
      <c r="A18" s="9">
        <v>14</v>
      </c>
      <c r="B18" s="9">
        <v>30600</v>
      </c>
      <c r="C18" s="9">
        <v>32100</v>
      </c>
      <c r="D18" s="9">
        <v>32800</v>
      </c>
      <c r="E18" s="9">
        <v>34000</v>
      </c>
      <c r="F18" s="9">
        <v>35400</v>
      </c>
      <c r="G18" s="9">
        <v>37200</v>
      </c>
      <c r="H18" s="9">
        <v>40200</v>
      </c>
      <c r="I18" s="9">
        <v>43500</v>
      </c>
      <c r="J18" s="9">
        <v>47800</v>
      </c>
      <c r="K18" s="9">
        <v>53600</v>
      </c>
    </row>
    <row r="19" spans="1:11">
      <c r="A19" s="9">
        <v>15</v>
      </c>
      <c r="B19" s="9">
        <v>31500</v>
      </c>
      <c r="C19" s="9">
        <v>33100</v>
      </c>
      <c r="D19" s="9">
        <v>33800</v>
      </c>
      <c r="E19" s="9">
        <v>35000</v>
      </c>
      <c r="F19" s="9">
        <v>36500</v>
      </c>
      <c r="G19" s="9">
        <v>38300</v>
      </c>
      <c r="H19" s="9">
        <v>41400</v>
      </c>
      <c r="I19" s="9">
        <v>44800</v>
      </c>
      <c r="J19" s="9">
        <v>49200</v>
      </c>
      <c r="K19" s="9">
        <v>55200</v>
      </c>
    </row>
    <row r="20" spans="1:11">
      <c r="A20" s="9">
        <v>16</v>
      </c>
      <c r="B20" s="9">
        <v>32400</v>
      </c>
      <c r="C20" s="9">
        <v>34100</v>
      </c>
      <c r="D20" s="9">
        <v>34800</v>
      </c>
      <c r="E20" s="9">
        <v>36100</v>
      </c>
      <c r="F20" s="9">
        <v>37600</v>
      </c>
      <c r="G20" s="9">
        <v>39400</v>
      </c>
      <c r="H20" s="9">
        <v>42600</v>
      </c>
      <c r="I20" s="9">
        <v>46100</v>
      </c>
      <c r="J20" s="9">
        <v>50700</v>
      </c>
      <c r="K20" s="9">
        <v>56900</v>
      </c>
    </row>
    <row r="21" spans="1:11">
      <c r="A21" s="9">
        <v>17</v>
      </c>
      <c r="B21" s="9">
        <v>33400</v>
      </c>
      <c r="C21" s="9">
        <v>35100</v>
      </c>
      <c r="D21" s="9">
        <v>35800</v>
      </c>
      <c r="E21" s="9">
        <v>37200</v>
      </c>
      <c r="F21" s="9">
        <v>38700</v>
      </c>
      <c r="G21" s="9">
        <v>40600</v>
      </c>
      <c r="H21" s="9">
        <v>43900</v>
      </c>
      <c r="I21" s="9">
        <v>47500</v>
      </c>
      <c r="J21" s="9">
        <v>52200</v>
      </c>
      <c r="K21" s="9">
        <v>58600</v>
      </c>
    </row>
    <row r="22" spans="1:11">
      <c r="A22" s="9">
        <v>18</v>
      </c>
      <c r="B22" s="9">
        <v>34600</v>
      </c>
      <c r="C22" s="9">
        <v>36200</v>
      </c>
      <c r="D22" s="9">
        <v>36900</v>
      </c>
      <c r="E22" s="9">
        <v>38100</v>
      </c>
      <c r="F22" s="9">
        <v>39900</v>
      </c>
      <c r="G22" s="9">
        <v>41800</v>
      </c>
      <c r="H22" s="9">
        <v>45200</v>
      </c>
      <c r="I22" s="9">
        <v>48900</v>
      </c>
      <c r="J22" s="9">
        <v>53800</v>
      </c>
      <c r="K22" s="9">
        <v>60400</v>
      </c>
    </row>
    <row r="23" spans="1:11">
      <c r="A23" s="9">
        <v>19</v>
      </c>
      <c r="B23" s="9">
        <v>35400</v>
      </c>
      <c r="C23" s="9">
        <v>37300</v>
      </c>
      <c r="D23" s="9">
        <v>38000</v>
      </c>
      <c r="E23" s="9">
        <v>39100</v>
      </c>
      <c r="F23" s="9">
        <v>41100</v>
      </c>
      <c r="G23" s="9">
        <v>43100</v>
      </c>
      <c r="H23" s="9">
        <v>46600</v>
      </c>
      <c r="I23" s="9">
        <v>50400</v>
      </c>
      <c r="J23" s="9">
        <v>55400</v>
      </c>
      <c r="K23" s="9">
        <v>62200</v>
      </c>
    </row>
    <row r="24" spans="1:11">
      <c r="A24" s="9">
        <v>20</v>
      </c>
      <c r="B24" s="9">
        <v>36500</v>
      </c>
      <c r="C24" s="9">
        <v>38400</v>
      </c>
      <c r="D24" s="9">
        <v>39100</v>
      </c>
      <c r="E24" s="9">
        <v>40600</v>
      </c>
      <c r="F24" s="9">
        <v>42300</v>
      </c>
      <c r="G24" s="9">
        <v>44400</v>
      </c>
      <c r="H24" s="9">
        <v>48000</v>
      </c>
      <c r="I24" s="9">
        <v>51900</v>
      </c>
      <c r="J24" s="9">
        <v>57100</v>
      </c>
      <c r="K24" s="9">
        <v>64100</v>
      </c>
    </row>
    <row r="25" spans="1:11">
      <c r="A25" s="9">
        <v>21</v>
      </c>
      <c r="B25" s="9">
        <v>37600</v>
      </c>
      <c r="C25" s="9">
        <v>39600</v>
      </c>
      <c r="D25" s="9">
        <v>40300</v>
      </c>
      <c r="E25" s="9">
        <v>41800</v>
      </c>
      <c r="F25" s="9">
        <v>43600</v>
      </c>
      <c r="G25" s="9">
        <v>45700</v>
      </c>
      <c r="H25" s="9">
        <v>49400</v>
      </c>
      <c r="I25" s="9">
        <v>53500</v>
      </c>
      <c r="J25" s="9">
        <v>58800</v>
      </c>
      <c r="K25" s="9">
        <v>66000</v>
      </c>
    </row>
    <row r="26" spans="1:11">
      <c r="A26" s="9">
        <v>22</v>
      </c>
      <c r="B26" s="9">
        <v>38700</v>
      </c>
      <c r="C26" s="9">
        <v>40800</v>
      </c>
      <c r="D26" s="9">
        <v>41500</v>
      </c>
      <c r="E26" s="9">
        <v>43100</v>
      </c>
      <c r="F26" s="9">
        <v>44900</v>
      </c>
      <c r="G26" s="9">
        <v>47100</v>
      </c>
      <c r="H26" s="9">
        <v>50900</v>
      </c>
      <c r="I26" s="9">
        <v>55100</v>
      </c>
      <c r="J26" s="9">
        <v>60600</v>
      </c>
      <c r="K26" s="9">
        <v>68000</v>
      </c>
    </row>
    <row r="27" spans="1:11">
      <c r="A27" s="9">
        <v>23</v>
      </c>
      <c r="B27" s="9">
        <v>39900</v>
      </c>
      <c r="C27" s="9">
        <v>42000</v>
      </c>
      <c r="D27" s="9">
        <v>42700</v>
      </c>
      <c r="E27" s="9">
        <v>44400</v>
      </c>
      <c r="F27" s="9">
        <v>46200</v>
      </c>
      <c r="G27" s="9">
        <v>48500</v>
      </c>
      <c r="H27" s="9">
        <v>52400</v>
      </c>
      <c r="I27" s="9">
        <v>56800</v>
      </c>
      <c r="J27" s="9">
        <v>62400</v>
      </c>
      <c r="K27" s="9">
        <v>70000</v>
      </c>
    </row>
    <row r="28" spans="1:11">
      <c r="A28" s="9">
        <v>24</v>
      </c>
      <c r="B28" s="9">
        <v>41100</v>
      </c>
      <c r="C28" s="9">
        <v>43300</v>
      </c>
      <c r="D28" s="9">
        <v>44000</v>
      </c>
      <c r="E28" s="9">
        <v>45700</v>
      </c>
      <c r="F28" s="9">
        <v>47600</v>
      </c>
      <c r="G28" s="9">
        <v>50000</v>
      </c>
      <c r="H28" s="9">
        <v>54000</v>
      </c>
      <c r="I28" s="9">
        <v>58500</v>
      </c>
      <c r="J28" s="9">
        <v>64300</v>
      </c>
      <c r="K28" s="9">
        <v>72100</v>
      </c>
    </row>
    <row r="29" spans="1:11">
      <c r="A29" s="9">
        <v>25</v>
      </c>
      <c r="B29" s="9">
        <v>42300</v>
      </c>
      <c r="C29" s="9">
        <v>44600</v>
      </c>
      <c r="D29" s="9">
        <v>45300</v>
      </c>
      <c r="E29" s="9">
        <v>47100</v>
      </c>
      <c r="F29" s="9">
        <v>49000</v>
      </c>
      <c r="G29" s="9">
        <v>51500</v>
      </c>
      <c r="H29" s="9">
        <v>55600</v>
      </c>
      <c r="I29" s="9">
        <v>60300</v>
      </c>
      <c r="J29" s="9">
        <v>66200</v>
      </c>
      <c r="K29" s="9">
        <v>74300</v>
      </c>
    </row>
    <row r="30" spans="1:11">
      <c r="A30" s="9">
        <v>26</v>
      </c>
      <c r="B30" s="9">
        <v>43600</v>
      </c>
      <c r="C30" s="9">
        <v>45900</v>
      </c>
      <c r="D30" s="9">
        <v>46700</v>
      </c>
      <c r="E30" s="9">
        <v>48500</v>
      </c>
      <c r="F30" s="9">
        <v>50500</v>
      </c>
      <c r="G30" s="9">
        <v>53000</v>
      </c>
      <c r="H30" s="9">
        <v>57300</v>
      </c>
      <c r="I30" s="9">
        <v>62100</v>
      </c>
      <c r="J30" s="9">
        <v>68200</v>
      </c>
      <c r="K30" s="9">
        <v>76500</v>
      </c>
    </row>
    <row r="31" spans="1:11">
      <c r="A31" s="9">
        <v>27</v>
      </c>
      <c r="B31" s="9"/>
      <c r="C31" s="9">
        <v>47300</v>
      </c>
      <c r="D31" s="9">
        <v>48100</v>
      </c>
      <c r="E31" s="9">
        <v>50000</v>
      </c>
      <c r="F31" s="9">
        <v>52000</v>
      </c>
      <c r="G31" s="9">
        <v>54600</v>
      </c>
      <c r="H31" s="9">
        <v>59000</v>
      </c>
      <c r="I31" s="9">
        <v>64000</v>
      </c>
      <c r="J31" s="9">
        <v>70200</v>
      </c>
      <c r="K31" s="9">
        <v>78800</v>
      </c>
    </row>
    <row r="32" spans="1:11">
      <c r="A32" s="9">
        <v>28</v>
      </c>
      <c r="B32" s="9"/>
      <c r="C32" s="9">
        <v>48700</v>
      </c>
      <c r="D32" s="9">
        <v>49500</v>
      </c>
      <c r="E32" s="9">
        <v>51500</v>
      </c>
      <c r="F32" s="9">
        <v>53600</v>
      </c>
      <c r="G32" s="9">
        <v>56200</v>
      </c>
      <c r="H32" s="9">
        <v>60800</v>
      </c>
      <c r="I32" s="9">
        <v>65900</v>
      </c>
      <c r="J32" s="9">
        <v>72300</v>
      </c>
      <c r="K32" s="9">
        <v>81200</v>
      </c>
    </row>
    <row r="33" spans="1:11">
      <c r="A33" s="9">
        <v>29</v>
      </c>
      <c r="B33" s="9"/>
      <c r="C33" s="9">
        <v>50200</v>
      </c>
      <c r="D33" s="9">
        <v>51000</v>
      </c>
      <c r="E33" s="9">
        <v>53000</v>
      </c>
      <c r="F33" s="9">
        <v>55200</v>
      </c>
      <c r="G33" s="9">
        <v>57900</v>
      </c>
      <c r="H33" s="9">
        <v>62600</v>
      </c>
      <c r="I33" s="9">
        <v>67900</v>
      </c>
      <c r="J33" s="9">
        <v>74500</v>
      </c>
      <c r="K33" s="9">
        <v>83600</v>
      </c>
    </row>
    <row r="34" spans="1:11">
      <c r="A34" s="9">
        <v>30</v>
      </c>
      <c r="B34" s="9"/>
      <c r="C34" s="9"/>
      <c r="D34" s="9"/>
      <c r="E34" s="9">
        <v>54600</v>
      </c>
      <c r="F34" s="9">
        <v>56900</v>
      </c>
      <c r="G34" s="9">
        <v>59600</v>
      </c>
      <c r="H34" s="9">
        <v>64500</v>
      </c>
      <c r="I34" s="9">
        <v>69900</v>
      </c>
      <c r="J34" s="9">
        <v>76700</v>
      </c>
      <c r="K34" s="9">
        <v>86100</v>
      </c>
    </row>
    <row r="35" spans="1:11">
      <c r="A35" s="9">
        <v>31</v>
      </c>
      <c r="B35" s="9"/>
      <c r="C35" s="9"/>
      <c r="D35" s="9"/>
      <c r="E35" s="9"/>
      <c r="F35" s="9">
        <v>58600</v>
      </c>
      <c r="G35" s="9"/>
      <c r="H35" s="9">
        <v>66400</v>
      </c>
      <c r="I35" s="9">
        <v>72000</v>
      </c>
      <c r="J35" s="9">
        <v>79000</v>
      </c>
      <c r="K35" s="9">
        <v>88700</v>
      </c>
    </row>
    <row r="36" spans="1:11">
      <c r="A36" s="9">
        <v>32</v>
      </c>
      <c r="B36" s="9"/>
      <c r="C36" s="9"/>
      <c r="D36" s="9"/>
      <c r="E36" s="9"/>
      <c r="F36" s="9"/>
      <c r="G36" s="9"/>
      <c r="H36" s="9">
        <v>68400</v>
      </c>
      <c r="I36" s="9">
        <v>74200</v>
      </c>
      <c r="J36" s="9">
        <v>81400</v>
      </c>
      <c r="K36" s="9"/>
    </row>
    <row r="37" spans="1:11">
      <c r="A37" s="9">
        <v>33</v>
      </c>
      <c r="B37" s="9"/>
      <c r="C37" s="9"/>
      <c r="D37" s="9"/>
      <c r="E37" s="9"/>
      <c r="F37" s="9"/>
      <c r="G37" s="9"/>
      <c r="H37" s="9">
        <v>70500</v>
      </c>
      <c r="I37" s="9">
        <v>76400</v>
      </c>
      <c r="J37" s="9">
        <v>83800</v>
      </c>
      <c r="K37" s="9"/>
    </row>
    <row r="38" spans="1:11">
      <c r="A38" s="9">
        <v>34</v>
      </c>
      <c r="B38" s="9"/>
      <c r="C38" s="9"/>
      <c r="D38" s="9"/>
      <c r="E38" s="9"/>
      <c r="F38" s="9"/>
      <c r="G38" s="9"/>
      <c r="H38" s="9"/>
      <c r="I38" s="9">
        <v>78700</v>
      </c>
      <c r="J38" s="9"/>
      <c r="K38" s="9"/>
    </row>
    <row r="39" spans="1:11">
      <c r="A39" s="9">
        <v>35</v>
      </c>
      <c r="B39" s="9"/>
      <c r="C39" s="9"/>
      <c r="D39" s="9"/>
      <c r="E39" s="9"/>
      <c r="F39" s="9"/>
      <c r="G39" s="9"/>
      <c r="H39" s="9"/>
      <c r="I39" s="9">
        <v>81100</v>
      </c>
      <c r="J39" s="9"/>
      <c r="K39" s="9"/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0"/>
  <sheetViews>
    <sheetView workbookViewId="0">
      <selection activeCell="H13" sqref="H13"/>
    </sheetView>
  </sheetViews>
  <sheetFormatPr defaultRowHeight="15"/>
  <cols>
    <col min="1" max="1" width="16.7109375" bestFit="1" customWidth="1"/>
    <col min="2" max="10" width="11.7109375" bestFit="1" customWidth="1"/>
    <col min="11" max="11" width="12.7109375" bestFit="1" customWidth="1"/>
  </cols>
  <sheetData>
    <row r="1" spans="1:11">
      <c r="A1" s="32" t="s">
        <v>220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>
      <c r="A2" s="9" t="s">
        <v>194</v>
      </c>
      <c r="B2" s="9" t="s">
        <v>206</v>
      </c>
      <c r="C2" s="9" t="s">
        <v>198</v>
      </c>
      <c r="D2" s="9" t="s">
        <v>44</v>
      </c>
      <c r="E2" s="9" t="s">
        <v>199</v>
      </c>
      <c r="F2" s="9" t="s">
        <v>200</v>
      </c>
      <c r="G2" s="9" t="s">
        <v>201</v>
      </c>
      <c r="H2" s="9" t="s">
        <v>202</v>
      </c>
      <c r="I2" s="9" t="s">
        <v>203</v>
      </c>
      <c r="J2" s="9" t="s">
        <v>204</v>
      </c>
      <c r="K2" s="9" t="s">
        <v>205</v>
      </c>
    </row>
    <row r="3" spans="1:11">
      <c r="A3" s="9" t="s">
        <v>195</v>
      </c>
      <c r="B3" s="9" t="s">
        <v>207</v>
      </c>
      <c r="C3" s="9" t="s">
        <v>208</v>
      </c>
      <c r="D3" s="9" t="s">
        <v>209</v>
      </c>
      <c r="E3" s="9" t="s">
        <v>210</v>
      </c>
      <c r="F3" s="9" t="s">
        <v>211</v>
      </c>
      <c r="G3" s="9" t="s">
        <v>212</v>
      </c>
      <c r="H3" s="9" t="s">
        <v>213</v>
      </c>
      <c r="I3" s="9" t="s">
        <v>214</v>
      </c>
      <c r="J3" s="9" t="s">
        <v>215</v>
      </c>
      <c r="K3" s="9" t="s">
        <v>216</v>
      </c>
    </row>
    <row r="4" spans="1:11">
      <c r="A4" s="9" t="s">
        <v>196</v>
      </c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9</v>
      </c>
      <c r="K4" s="9">
        <v>10</v>
      </c>
    </row>
    <row r="5" spans="1:11">
      <c r="A5" s="9">
        <v>1</v>
      </c>
      <c r="B5" s="9">
        <v>29500</v>
      </c>
      <c r="C5" s="9">
        <v>30700</v>
      </c>
      <c r="D5" s="9">
        <v>31500</v>
      </c>
      <c r="E5" s="9">
        <v>32600</v>
      </c>
      <c r="F5" s="9">
        <v>34100</v>
      </c>
      <c r="G5" s="9">
        <v>35500</v>
      </c>
      <c r="H5" s="9">
        <v>38600</v>
      </c>
      <c r="I5" s="9">
        <v>41800</v>
      </c>
      <c r="J5" s="9">
        <v>45800</v>
      </c>
      <c r="K5" s="9">
        <v>51500</v>
      </c>
    </row>
    <row r="6" spans="1:11">
      <c r="A6" s="9">
        <v>2</v>
      </c>
      <c r="B6" s="9">
        <v>30400</v>
      </c>
      <c r="C6" s="9">
        <v>31600</v>
      </c>
      <c r="D6" s="9">
        <v>32400</v>
      </c>
      <c r="E6" s="9">
        <v>33600</v>
      </c>
      <c r="F6" s="9">
        <v>35100</v>
      </c>
      <c r="G6" s="9">
        <v>36600</v>
      </c>
      <c r="H6" s="9">
        <v>39800</v>
      </c>
      <c r="I6" s="9">
        <v>43100</v>
      </c>
      <c r="J6" s="9">
        <v>47200</v>
      </c>
      <c r="K6" s="9">
        <v>53000</v>
      </c>
    </row>
    <row r="7" spans="1:11">
      <c r="A7" s="9">
        <v>3</v>
      </c>
      <c r="B7" s="9">
        <v>31300</v>
      </c>
      <c r="C7" s="9">
        <v>32500</v>
      </c>
      <c r="D7" s="9">
        <v>33400</v>
      </c>
      <c r="E7" s="9">
        <v>34600</v>
      </c>
      <c r="F7" s="9">
        <v>36200</v>
      </c>
      <c r="G7" s="9">
        <v>37700</v>
      </c>
      <c r="H7" s="9">
        <v>41000</v>
      </c>
      <c r="I7" s="9">
        <v>44400</v>
      </c>
      <c r="J7" s="9">
        <v>48600</v>
      </c>
      <c r="K7" s="9">
        <v>54600</v>
      </c>
    </row>
    <row r="8" spans="1:11">
      <c r="A8" s="9">
        <v>4</v>
      </c>
      <c r="B8" s="9">
        <v>32200</v>
      </c>
      <c r="C8" s="9">
        <v>33500</v>
      </c>
      <c r="D8" s="9">
        <v>34400</v>
      </c>
      <c r="E8" s="9">
        <v>35600</v>
      </c>
      <c r="F8" s="9">
        <v>37300</v>
      </c>
      <c r="G8" s="9">
        <v>38800</v>
      </c>
      <c r="H8" s="9">
        <v>42200</v>
      </c>
      <c r="I8" s="9">
        <v>45700</v>
      </c>
      <c r="J8" s="9">
        <v>50100</v>
      </c>
      <c r="K8" s="9">
        <v>56200</v>
      </c>
    </row>
    <row r="9" spans="1:11">
      <c r="A9" s="9">
        <v>5</v>
      </c>
      <c r="B9" s="9">
        <v>33200</v>
      </c>
      <c r="C9" s="9">
        <v>34500</v>
      </c>
      <c r="D9" s="9">
        <v>35400</v>
      </c>
      <c r="E9" s="9">
        <v>36700</v>
      </c>
      <c r="F9" s="9">
        <v>38400</v>
      </c>
      <c r="G9" s="9">
        <v>40000</v>
      </c>
      <c r="H9" s="9">
        <v>43500</v>
      </c>
      <c r="I9" s="9">
        <v>47100</v>
      </c>
      <c r="J9" s="9">
        <v>51600</v>
      </c>
      <c r="K9" s="9">
        <v>57900</v>
      </c>
    </row>
    <row r="10" spans="1:11">
      <c r="A10" s="9">
        <v>6</v>
      </c>
      <c r="B10" s="9">
        <v>34200</v>
      </c>
      <c r="C10" s="9">
        <v>35500</v>
      </c>
      <c r="D10" s="9">
        <v>36500</v>
      </c>
      <c r="E10" s="9">
        <v>37800</v>
      </c>
      <c r="F10" s="9">
        <v>39600</v>
      </c>
      <c r="G10" s="9">
        <v>41200</v>
      </c>
      <c r="H10" s="9">
        <v>44800</v>
      </c>
      <c r="I10" s="9">
        <v>48500</v>
      </c>
      <c r="J10" s="9">
        <v>53100</v>
      </c>
      <c r="K10" s="9">
        <v>59600</v>
      </c>
    </row>
    <row r="11" spans="1:11">
      <c r="A11" s="9">
        <v>7</v>
      </c>
      <c r="B11" s="9">
        <v>35200</v>
      </c>
      <c r="C11" s="9">
        <v>36600</v>
      </c>
      <c r="D11" s="9">
        <v>37600</v>
      </c>
      <c r="E11" s="9">
        <v>38900</v>
      </c>
      <c r="F11" s="9">
        <v>40300</v>
      </c>
      <c r="G11" s="9">
        <v>42400</v>
      </c>
      <c r="H11" s="9">
        <v>46100</v>
      </c>
      <c r="I11" s="9">
        <v>50000</v>
      </c>
      <c r="J11" s="9">
        <v>54700</v>
      </c>
      <c r="K11" s="9">
        <v>61400</v>
      </c>
    </row>
    <row r="12" spans="1:11">
      <c r="A12" s="9">
        <v>8</v>
      </c>
      <c r="B12" s="9">
        <v>36300</v>
      </c>
      <c r="C12" s="9">
        <v>37700</v>
      </c>
      <c r="D12" s="9">
        <v>38700</v>
      </c>
      <c r="E12" s="9">
        <v>40100</v>
      </c>
      <c r="F12" s="9">
        <v>42000</v>
      </c>
      <c r="G12" s="9">
        <v>43700</v>
      </c>
      <c r="H12" s="9">
        <v>47500</v>
      </c>
      <c r="I12" s="9">
        <v>51500</v>
      </c>
      <c r="J12" s="9">
        <v>56300</v>
      </c>
      <c r="K12" s="9">
        <v>63200</v>
      </c>
    </row>
    <row r="13" spans="1:11">
      <c r="A13" s="9">
        <v>9</v>
      </c>
      <c r="B13" s="9">
        <v>37400</v>
      </c>
      <c r="C13" s="9">
        <v>38800</v>
      </c>
      <c r="D13" s="9">
        <v>39900</v>
      </c>
      <c r="E13" s="9">
        <v>41300</v>
      </c>
      <c r="F13" s="9">
        <v>43300</v>
      </c>
      <c r="G13" s="9">
        <v>45000</v>
      </c>
      <c r="H13" s="9">
        <v>48900</v>
      </c>
      <c r="I13" s="9">
        <v>53000</v>
      </c>
      <c r="J13" s="9">
        <v>58000</v>
      </c>
      <c r="K13" s="9">
        <v>65100</v>
      </c>
    </row>
    <row r="14" spans="1:11">
      <c r="A14" s="9">
        <v>10</v>
      </c>
      <c r="B14" s="9">
        <v>38500</v>
      </c>
      <c r="C14" s="9">
        <v>40000</v>
      </c>
      <c r="D14" s="9">
        <v>41100</v>
      </c>
      <c r="E14" s="9">
        <v>42500</v>
      </c>
      <c r="F14" s="9">
        <v>44600</v>
      </c>
      <c r="G14" s="9">
        <v>46400</v>
      </c>
      <c r="H14" s="9">
        <v>50400</v>
      </c>
      <c r="I14" s="9">
        <v>54600</v>
      </c>
      <c r="J14" s="9">
        <v>59700</v>
      </c>
      <c r="K14" s="9">
        <v>67100</v>
      </c>
    </row>
    <row r="15" spans="1:11">
      <c r="A15" s="9">
        <v>11</v>
      </c>
      <c r="B15" s="9">
        <v>39700</v>
      </c>
      <c r="C15" s="9">
        <v>41200</v>
      </c>
      <c r="D15" s="9">
        <v>42300</v>
      </c>
      <c r="E15" s="9">
        <v>43800</v>
      </c>
      <c r="F15" s="9">
        <v>45900</v>
      </c>
      <c r="G15" s="9">
        <v>47800</v>
      </c>
      <c r="H15" s="9">
        <v>51900</v>
      </c>
      <c r="I15" s="9">
        <v>56200</v>
      </c>
      <c r="J15" s="9">
        <v>61500</v>
      </c>
      <c r="K15" s="9">
        <v>69100</v>
      </c>
    </row>
    <row r="16" spans="1:11">
      <c r="A16" s="9">
        <v>12</v>
      </c>
      <c r="B16" s="9">
        <v>40900</v>
      </c>
      <c r="C16" s="9">
        <v>42400</v>
      </c>
      <c r="D16" s="9">
        <v>43600</v>
      </c>
      <c r="E16" s="9">
        <v>45100</v>
      </c>
      <c r="F16" s="9">
        <v>47300</v>
      </c>
      <c r="G16" s="9">
        <v>49200</v>
      </c>
      <c r="H16" s="9">
        <v>53500</v>
      </c>
      <c r="I16" s="9">
        <v>57900</v>
      </c>
      <c r="J16" s="9">
        <v>63300</v>
      </c>
      <c r="K16" s="9">
        <v>71200</v>
      </c>
    </row>
    <row r="17" spans="1:11">
      <c r="A17" s="9">
        <v>13</v>
      </c>
      <c r="B17" s="9">
        <v>42100</v>
      </c>
      <c r="C17" s="9">
        <v>43700</v>
      </c>
      <c r="D17" s="9">
        <v>44900</v>
      </c>
      <c r="E17" s="9">
        <v>46500</v>
      </c>
      <c r="F17" s="9">
        <v>48700</v>
      </c>
      <c r="G17" s="9">
        <v>50700</v>
      </c>
      <c r="H17" s="9">
        <v>55100</v>
      </c>
      <c r="I17" s="9">
        <v>59600</v>
      </c>
      <c r="J17" s="9">
        <v>65200</v>
      </c>
      <c r="K17" s="9">
        <v>73300</v>
      </c>
    </row>
    <row r="18" spans="1:11">
      <c r="A18" s="9">
        <v>14</v>
      </c>
      <c r="B18" s="9">
        <v>43400</v>
      </c>
      <c r="C18" s="9">
        <v>45000</v>
      </c>
      <c r="D18" s="9">
        <v>46200</v>
      </c>
      <c r="E18" s="9">
        <v>47900</v>
      </c>
      <c r="F18" s="9">
        <v>50200</v>
      </c>
      <c r="G18" s="9">
        <v>52200</v>
      </c>
      <c r="H18" s="9">
        <v>56800</v>
      </c>
      <c r="I18" s="9">
        <v>61400</v>
      </c>
      <c r="J18" s="9">
        <v>67200</v>
      </c>
      <c r="K18" s="9">
        <v>75500</v>
      </c>
    </row>
    <row r="19" spans="1:11">
      <c r="A19" s="9">
        <v>15</v>
      </c>
      <c r="B19" s="9">
        <v>44700</v>
      </c>
      <c r="C19" s="9">
        <v>46400</v>
      </c>
      <c r="D19" s="9">
        <v>47600</v>
      </c>
      <c r="E19" s="9">
        <v>49300</v>
      </c>
      <c r="F19" s="9">
        <v>51700</v>
      </c>
      <c r="G19" s="9">
        <v>53800</v>
      </c>
      <c r="H19" s="9">
        <v>58500</v>
      </c>
      <c r="I19" s="9">
        <v>63200</v>
      </c>
      <c r="J19" s="9">
        <v>69200</v>
      </c>
      <c r="K19" s="9">
        <v>77800</v>
      </c>
    </row>
    <row r="20" spans="1:11">
      <c r="A20" s="9">
        <v>16</v>
      </c>
      <c r="B20" s="9">
        <v>46000</v>
      </c>
      <c r="C20" s="9">
        <v>47800</v>
      </c>
      <c r="D20" s="9">
        <v>49000</v>
      </c>
      <c r="E20" s="9">
        <v>50800</v>
      </c>
      <c r="F20" s="9">
        <v>53300</v>
      </c>
      <c r="G20" s="9">
        <v>55400</v>
      </c>
      <c r="H20" s="9">
        <v>60300</v>
      </c>
      <c r="I20" s="9">
        <v>65100</v>
      </c>
      <c r="J20" s="9">
        <v>71300</v>
      </c>
      <c r="K20" s="9">
        <v>80100</v>
      </c>
    </row>
    <row r="21" spans="1:11">
      <c r="A21" s="9">
        <v>17</v>
      </c>
      <c r="B21" s="9">
        <v>47400</v>
      </c>
      <c r="C21" s="9">
        <v>49200</v>
      </c>
      <c r="D21" s="9">
        <v>50500</v>
      </c>
      <c r="E21" s="9">
        <v>52300</v>
      </c>
      <c r="F21" s="9">
        <v>54900</v>
      </c>
      <c r="G21" s="9">
        <v>57100</v>
      </c>
      <c r="H21" s="9">
        <v>62100</v>
      </c>
      <c r="I21" s="9">
        <v>67100</v>
      </c>
      <c r="J21" s="9">
        <v>73400</v>
      </c>
      <c r="K21" s="9">
        <v>82500</v>
      </c>
    </row>
    <row r="22" spans="1:11">
      <c r="A22" s="9">
        <v>18</v>
      </c>
      <c r="B22" s="9">
        <v>48800</v>
      </c>
      <c r="C22" s="9">
        <v>50700</v>
      </c>
      <c r="D22" s="9">
        <v>52000</v>
      </c>
      <c r="E22" s="9">
        <v>53900</v>
      </c>
      <c r="F22" s="9">
        <v>56500</v>
      </c>
      <c r="G22" s="9">
        <v>58800</v>
      </c>
      <c r="H22" s="9">
        <v>64000</v>
      </c>
      <c r="I22" s="9">
        <v>69100</v>
      </c>
      <c r="J22" s="9">
        <v>75600</v>
      </c>
      <c r="K22" s="9">
        <v>85000</v>
      </c>
    </row>
    <row r="23" spans="1:11">
      <c r="A23" s="9">
        <v>19</v>
      </c>
      <c r="B23" s="9">
        <v>50300</v>
      </c>
      <c r="C23" s="9">
        <v>52200</v>
      </c>
      <c r="D23" s="9">
        <v>53800</v>
      </c>
      <c r="E23" s="9">
        <v>55500</v>
      </c>
      <c r="F23" s="9">
        <v>58200</v>
      </c>
      <c r="G23" s="9">
        <v>60600</v>
      </c>
      <c r="H23" s="9">
        <v>65900</v>
      </c>
      <c r="I23" s="9">
        <v>71200</v>
      </c>
      <c r="J23" s="9">
        <v>77900</v>
      </c>
      <c r="K23" s="9">
        <v>87600</v>
      </c>
    </row>
    <row r="24" spans="1:11">
      <c r="A24" s="9">
        <v>20</v>
      </c>
      <c r="B24" s="9">
        <v>51800</v>
      </c>
      <c r="C24" s="9">
        <v>53800</v>
      </c>
      <c r="D24" s="9">
        <v>55200</v>
      </c>
      <c r="E24" s="9">
        <v>57200</v>
      </c>
      <c r="F24" s="9">
        <v>59900</v>
      </c>
      <c r="G24" s="9">
        <v>62400</v>
      </c>
      <c r="H24" s="9">
        <v>67900</v>
      </c>
      <c r="I24" s="9">
        <v>73300</v>
      </c>
      <c r="J24" s="9">
        <v>80200</v>
      </c>
      <c r="K24" s="9">
        <v>90200</v>
      </c>
    </row>
    <row r="25" spans="1:11">
      <c r="A25" s="9">
        <v>21</v>
      </c>
      <c r="B25" s="9">
        <v>53400</v>
      </c>
      <c r="C25" s="9">
        <v>55400</v>
      </c>
      <c r="D25" s="9">
        <v>56900</v>
      </c>
      <c r="E25" s="9">
        <v>58900</v>
      </c>
      <c r="F25" s="9">
        <v>61700</v>
      </c>
      <c r="G25" s="9">
        <v>64300</v>
      </c>
      <c r="H25" s="9">
        <v>69900</v>
      </c>
      <c r="I25" s="9">
        <v>75400</v>
      </c>
      <c r="J25" s="9">
        <v>82600</v>
      </c>
      <c r="K25" s="9">
        <v>92900</v>
      </c>
    </row>
    <row r="26" spans="1:11">
      <c r="A26" s="9">
        <v>22</v>
      </c>
      <c r="B26" s="9">
        <v>55000</v>
      </c>
      <c r="C26" s="9">
        <v>57100</v>
      </c>
      <c r="D26" s="9">
        <v>58600</v>
      </c>
      <c r="E26" s="9">
        <v>60700</v>
      </c>
      <c r="F26" s="9">
        <v>63600</v>
      </c>
      <c r="G26" s="9">
        <v>66200</v>
      </c>
      <c r="H26" s="9">
        <v>72000</v>
      </c>
      <c r="I26" s="9">
        <v>77800</v>
      </c>
      <c r="J26" s="9">
        <v>85100</v>
      </c>
      <c r="K26" s="9">
        <v>95700</v>
      </c>
    </row>
    <row r="27" spans="1:11">
      <c r="A27" s="9">
        <v>23</v>
      </c>
      <c r="B27" s="9">
        <v>56700</v>
      </c>
      <c r="C27" s="9">
        <v>58800</v>
      </c>
      <c r="D27" s="9">
        <v>60400</v>
      </c>
      <c r="E27" s="9">
        <v>62500</v>
      </c>
      <c r="F27" s="9">
        <v>65500</v>
      </c>
      <c r="G27" s="9">
        <v>68200</v>
      </c>
      <c r="H27" s="9">
        <v>74200</v>
      </c>
      <c r="I27" s="9">
        <v>80100</v>
      </c>
      <c r="J27" s="9">
        <v>87700</v>
      </c>
      <c r="K27" s="9">
        <v>98600</v>
      </c>
    </row>
    <row r="28" spans="1:11">
      <c r="A28" s="9">
        <v>24</v>
      </c>
      <c r="B28" s="9">
        <v>58400</v>
      </c>
      <c r="C28" s="9">
        <v>60600</v>
      </c>
      <c r="D28" s="9">
        <v>62200</v>
      </c>
      <c r="E28" s="9">
        <v>64400</v>
      </c>
      <c r="F28" s="9">
        <v>67500</v>
      </c>
      <c r="G28" s="9">
        <v>70200</v>
      </c>
      <c r="H28" s="9">
        <v>76400</v>
      </c>
      <c r="I28" s="9">
        <v>82500</v>
      </c>
      <c r="J28" s="9">
        <v>90300</v>
      </c>
      <c r="K28" s="9">
        <v>101600</v>
      </c>
    </row>
    <row r="29" spans="1:11">
      <c r="A29" s="9">
        <v>25</v>
      </c>
      <c r="B29" s="9">
        <v>60200</v>
      </c>
      <c r="C29" s="9">
        <v>62400</v>
      </c>
      <c r="D29" s="9">
        <v>64100</v>
      </c>
      <c r="E29" s="9">
        <v>66300</v>
      </c>
      <c r="F29" s="9">
        <v>69500</v>
      </c>
      <c r="G29" s="9">
        <v>72300</v>
      </c>
      <c r="H29" s="9">
        <v>78700</v>
      </c>
      <c r="I29" s="9">
        <v>85000</v>
      </c>
      <c r="J29" s="9">
        <v>93000</v>
      </c>
      <c r="K29" s="9">
        <v>104600</v>
      </c>
    </row>
    <row r="30" spans="1:11">
      <c r="A30" s="9">
        <v>26</v>
      </c>
      <c r="B30" s="9">
        <v>62000</v>
      </c>
      <c r="C30" s="9">
        <v>64300</v>
      </c>
      <c r="D30" s="9">
        <v>66000</v>
      </c>
      <c r="E30" s="9">
        <v>68300</v>
      </c>
      <c r="F30" s="9">
        <v>71600</v>
      </c>
      <c r="G30" s="9">
        <v>74500</v>
      </c>
      <c r="H30" s="9">
        <v>81100</v>
      </c>
      <c r="I30" s="9">
        <v>87600</v>
      </c>
      <c r="J30" s="9">
        <v>95800</v>
      </c>
      <c r="K30" s="9">
        <v>107700</v>
      </c>
    </row>
    <row r="31" spans="1:11">
      <c r="A31" s="9">
        <v>27</v>
      </c>
      <c r="B31" s="9"/>
      <c r="C31" s="9">
        <v>66200</v>
      </c>
      <c r="D31" s="9">
        <v>68000</v>
      </c>
      <c r="E31" s="9">
        <v>70300</v>
      </c>
      <c r="F31" s="9">
        <v>73700</v>
      </c>
      <c r="G31" s="9">
        <v>76700</v>
      </c>
      <c r="H31" s="9">
        <v>83500</v>
      </c>
      <c r="I31" s="9">
        <v>90200</v>
      </c>
      <c r="J31" s="9">
        <v>98700</v>
      </c>
      <c r="K31" s="9">
        <v>110900</v>
      </c>
    </row>
    <row r="32" spans="1:11">
      <c r="A32" s="9">
        <v>28</v>
      </c>
      <c r="B32" s="9"/>
      <c r="C32" s="9">
        <v>68200</v>
      </c>
      <c r="D32" s="9">
        <v>70000</v>
      </c>
      <c r="E32" s="9">
        <v>72400</v>
      </c>
      <c r="F32" s="9">
        <v>75900</v>
      </c>
      <c r="G32" s="9">
        <v>79000</v>
      </c>
      <c r="H32" s="9">
        <v>86000</v>
      </c>
      <c r="I32" s="9">
        <v>92900</v>
      </c>
      <c r="J32" s="9">
        <v>101700</v>
      </c>
      <c r="K32" s="9">
        <v>114200</v>
      </c>
    </row>
    <row r="33" spans="1:11">
      <c r="A33" s="9">
        <v>29</v>
      </c>
      <c r="B33" s="9"/>
      <c r="C33" s="9">
        <v>70200</v>
      </c>
      <c r="D33" s="9">
        <v>72100</v>
      </c>
      <c r="E33" s="9">
        <v>74600</v>
      </c>
      <c r="F33" s="9">
        <v>78200</v>
      </c>
      <c r="G33" s="9">
        <v>81400</v>
      </c>
      <c r="H33" s="9">
        <v>88600</v>
      </c>
      <c r="I33" s="9">
        <v>95700</v>
      </c>
      <c r="J33" s="9">
        <v>104800</v>
      </c>
      <c r="K33" s="9">
        <v>117600</v>
      </c>
    </row>
    <row r="34" spans="1:11">
      <c r="A34" s="9">
        <v>30</v>
      </c>
      <c r="B34" s="9"/>
      <c r="C34" s="9">
        <v>72300</v>
      </c>
      <c r="D34" s="9">
        <v>74300</v>
      </c>
      <c r="E34" s="9">
        <v>78800</v>
      </c>
      <c r="F34" s="9">
        <v>80500</v>
      </c>
      <c r="G34" s="9">
        <v>83800</v>
      </c>
      <c r="H34" s="9">
        <v>91300</v>
      </c>
      <c r="I34" s="9">
        <v>98600</v>
      </c>
      <c r="J34" s="9">
        <v>107900</v>
      </c>
      <c r="K34" s="9">
        <v>121100</v>
      </c>
    </row>
    <row r="35" spans="1:11">
      <c r="A35" s="9">
        <v>31</v>
      </c>
      <c r="B35" s="9"/>
      <c r="C35" s="9"/>
      <c r="D35" s="9"/>
      <c r="E35" s="9">
        <v>79100</v>
      </c>
      <c r="F35" s="9">
        <v>82900</v>
      </c>
      <c r="G35" s="9">
        <v>86300</v>
      </c>
      <c r="H35" s="9">
        <v>94000</v>
      </c>
      <c r="I35" s="9">
        <v>101600</v>
      </c>
      <c r="J35" s="9">
        <v>111100</v>
      </c>
      <c r="K35" s="9">
        <v>124700</v>
      </c>
    </row>
    <row r="36" spans="1:11">
      <c r="A36" s="9">
        <v>32</v>
      </c>
      <c r="B36" s="9"/>
      <c r="C36" s="9"/>
      <c r="D36" s="9"/>
      <c r="E36" s="9"/>
      <c r="F36" s="9"/>
      <c r="G36" s="9"/>
      <c r="H36" s="9">
        <v>96800</v>
      </c>
      <c r="I36" s="9">
        <v>104600</v>
      </c>
      <c r="J36" s="9">
        <v>114400</v>
      </c>
      <c r="K36" s="9">
        <v>128400</v>
      </c>
    </row>
    <row r="37" spans="1:11">
      <c r="A37" s="9">
        <v>33</v>
      </c>
      <c r="B37" s="9"/>
      <c r="C37" s="9"/>
      <c r="D37" s="9"/>
      <c r="E37" s="9"/>
      <c r="F37" s="9"/>
      <c r="G37" s="9"/>
      <c r="H37" s="9">
        <v>99700</v>
      </c>
      <c r="I37" s="9">
        <v>107700</v>
      </c>
      <c r="J37" s="9">
        <v>117800</v>
      </c>
      <c r="K37" s="9"/>
    </row>
    <row r="38" spans="1:11">
      <c r="A38" s="9">
        <v>34</v>
      </c>
      <c r="B38" s="9"/>
      <c r="C38" s="9"/>
      <c r="D38" s="9"/>
      <c r="E38" s="9"/>
      <c r="F38" s="9"/>
      <c r="G38" s="9"/>
      <c r="H38" s="9"/>
      <c r="I38" s="9">
        <v>110900</v>
      </c>
      <c r="J38" s="9">
        <v>121300</v>
      </c>
      <c r="K38" s="9"/>
    </row>
    <row r="39" spans="1:11">
      <c r="A39" s="9">
        <v>35</v>
      </c>
      <c r="B39" s="9"/>
      <c r="C39" s="9"/>
      <c r="D39" s="9"/>
      <c r="E39" s="9"/>
      <c r="F39" s="9"/>
      <c r="G39" s="9"/>
      <c r="H39" s="9"/>
      <c r="I39" s="9">
        <v>114200</v>
      </c>
      <c r="J39" s="9"/>
      <c r="K39" s="9"/>
    </row>
    <row r="40" spans="1:11">
      <c r="A40" s="9">
        <v>36</v>
      </c>
      <c r="B40" s="9"/>
      <c r="C40" s="9"/>
      <c r="D40" s="9"/>
      <c r="E40" s="9"/>
      <c r="F40" s="9"/>
      <c r="G40" s="9"/>
      <c r="H40" s="9"/>
      <c r="I40" s="9">
        <v>117600</v>
      </c>
      <c r="J40" s="9"/>
      <c r="K40" s="9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PayScale</vt:lpstr>
      <vt:lpstr>DA_1992</vt:lpstr>
      <vt:lpstr>SpecialDA</vt:lpstr>
      <vt:lpstr>SpecialAllowance</vt:lpstr>
      <vt:lpstr>Fixed_DA</vt:lpstr>
      <vt:lpstr>Matrix2017</vt:lpstr>
      <vt:lpstr>Matrix2022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2026-05-13T14:39:56Z</dcterms:created>
  <dcterms:modified xsi:type="dcterms:W3CDTF">2026-06-01T06:45:25Z</dcterms:modified>
</cp:coreProperties>
</file>