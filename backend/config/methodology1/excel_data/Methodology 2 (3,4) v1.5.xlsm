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iteshmukherjee/Downloads/"/>
    </mc:Choice>
  </mc:AlternateContent>
  <xr:revisionPtr revIDLastSave="0" documentId="13_ncr:1_{5490E221-AC63-6E41-AC91-D024D737ABEF}" xr6:coauthVersionLast="47" xr6:coauthVersionMax="47" xr10:uidLastSave="{00000000-0000-0000-0000-000000000000}"/>
  <workbookProtection workbookAlgorithmName="SHA-512" workbookHashValue="CegrrZvq8sVrXp/Ev9WpIgiA+ZvHHOjFiAsmTe/k7p4IwTpRm6JPIlR1l6wnydhBEpTVyTueSWmMQ7FAXBfmIw==" workbookSaltValue="yqipKFl5srX9wgv9Npdx5A==" workbookSpinCount="100000" lockStructure="1"/>
  <bookViews>
    <workbookView xWindow="80" yWindow="600" windowWidth="28720" windowHeight="16100" activeTab="1" xr2:uid="{00000000-000D-0000-FFFF-FFFF00000000}"/>
  </bookViews>
  <sheets>
    <sheet name="Lookup_scale" sheetId="20" r:id="rId1"/>
    <sheet name="M2_34" sheetId="22" r:id="rId2"/>
  </sheets>
  <definedNames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22" l="1"/>
  <c r="D15" i="22"/>
  <c r="B15" i="22"/>
  <c r="B14" i="22"/>
  <c r="B43" i="22"/>
  <c r="B62" i="22"/>
  <c r="B61" i="22"/>
  <c r="B38" i="22"/>
  <c r="B63" i="22" l="1"/>
  <c r="B40" i="22"/>
  <c r="B34" i="22"/>
  <c r="B33" i="22"/>
  <c r="B32" i="22"/>
  <c r="B35" i="22" l="1"/>
  <c r="B57" i="22"/>
  <c r="B53" i="22"/>
  <c r="B39" i="22" l="1"/>
  <c r="B49" i="22" l="1"/>
  <c r="B27" i="22" l="1"/>
  <c r="B29" i="22" l="1" a="1"/>
  <c r="B29" i="22" s="1"/>
  <c r="B28" i="22"/>
  <c r="B30" i="22" l="1"/>
  <c r="B37" i="22"/>
  <c r="B41" i="22" s="1"/>
  <c r="B44" i="22" l="1"/>
  <c r="B45" i="22" l="1"/>
  <c r="B46" i="22"/>
  <c r="B47" i="22" l="1"/>
  <c r="B50" i="22"/>
  <c r="B51" i="22" s="1"/>
  <c r="B54" i="22" l="1"/>
  <c r="B55" i="22" s="1"/>
  <c r="B58" i="22" l="1"/>
  <c r="B59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<sst xmlns="http://schemas.openxmlformats.org/spreadsheetml/2006/main" count="447" uniqueCount="306">
  <si>
    <t>Fitment</t>
  </si>
  <si>
    <t>SL NO</t>
  </si>
  <si>
    <t>1984(REVISED PAY SCALE)</t>
  </si>
  <si>
    <t>E-1</t>
  </si>
  <si>
    <t>E-2</t>
  </si>
  <si>
    <t>E-3</t>
  </si>
  <si>
    <t>E-4</t>
  </si>
  <si>
    <t>E-5</t>
  </si>
  <si>
    <t>E-7</t>
  </si>
  <si>
    <t>E-6</t>
  </si>
  <si>
    <t>E-8</t>
  </si>
  <si>
    <t>E-9</t>
  </si>
  <si>
    <t>E-10</t>
  </si>
  <si>
    <t>E-11</t>
  </si>
  <si>
    <t>E-12</t>
  </si>
  <si>
    <t>E-13</t>
  </si>
  <si>
    <t>E-14</t>
  </si>
  <si>
    <t>E-15</t>
  </si>
  <si>
    <t>E-16</t>
  </si>
  <si>
    <t>E-17</t>
  </si>
  <si>
    <t>E-18</t>
  </si>
  <si>
    <t>E-19</t>
  </si>
  <si>
    <t>E-20</t>
  </si>
  <si>
    <t>E-21</t>
  </si>
  <si>
    <t>E-22</t>
  </si>
  <si>
    <t>E-23</t>
  </si>
  <si>
    <t>E-24</t>
  </si>
  <si>
    <t>Scale</t>
  </si>
  <si>
    <t>DA Formula 1992</t>
  </si>
  <si>
    <t>Min</t>
  </si>
  <si>
    <t>Max</t>
  </si>
  <si>
    <t>Rate</t>
  </si>
  <si>
    <t>Slab</t>
  </si>
  <si>
    <t>785-22-1115</t>
  </si>
  <si>
    <t>550-11-638-11-726</t>
  </si>
  <si>
    <t>565-11-620-13-685-15-775</t>
  </si>
  <si>
    <t>575-11-619-13-671-15-806</t>
  </si>
  <si>
    <t>585-13-637-15-712-16-840</t>
  </si>
  <si>
    <t>595-15-715-16-875</t>
  </si>
  <si>
    <t>605-16--765-18-927</t>
  </si>
  <si>
    <t>665-18-755-20-1015</t>
  </si>
  <si>
    <t>670-20-830-22-984</t>
  </si>
  <si>
    <t>670-20-830-22-1028</t>
  </si>
  <si>
    <t>670-20-830-22-1116</t>
  </si>
  <si>
    <t>710-20-830-22-1028</t>
  </si>
  <si>
    <t>695-22-915-26-1175</t>
  </si>
  <si>
    <t>710-22-864-26-1202</t>
  </si>
  <si>
    <t>725-26-985-34-1257</t>
  </si>
  <si>
    <t>725-26-985-34-1325</t>
  </si>
  <si>
    <t>785-26-1019-34-1325</t>
  </si>
  <si>
    <t>795-26-951-34-1359</t>
  </si>
  <si>
    <t>800-26-878-34-1014-40-1454</t>
  </si>
  <si>
    <t>850-34-1020-40-1500</t>
  </si>
  <si>
    <t>880-34-982-40-1542</t>
  </si>
  <si>
    <t>900-40-1220-41-1630</t>
  </si>
  <si>
    <t>965-44-1229-50-1679</t>
  </si>
  <si>
    <t>E-26</t>
  </si>
  <si>
    <t>E-27</t>
  </si>
  <si>
    <t>E-28</t>
  </si>
  <si>
    <t>1040-20-1200-25-1425</t>
  </si>
  <si>
    <t>1055-20-1155-30-1305-35-1515</t>
  </si>
  <si>
    <t>1065-20-1145-30-1265-35-1545</t>
  </si>
  <si>
    <t>1075-30-1195-35-1580</t>
  </si>
  <si>
    <t>1085-35-1645</t>
  </si>
  <si>
    <t>1095-35-1375-40-1695</t>
  </si>
  <si>
    <t>1130-35-1375-40-1735</t>
  </si>
  <si>
    <t>1160-40-1800</t>
  </si>
  <si>
    <t>1165-40-1485-45-1800</t>
  </si>
  <si>
    <t>1165-40-1485-45-1845</t>
  </si>
  <si>
    <t>1165-40-1485-45-1935</t>
  </si>
  <si>
    <t>1205-40-1485-45-1845</t>
  </si>
  <si>
    <t>1285-40-1485-45-1935</t>
  </si>
  <si>
    <t>1190-45-1505-50-2005</t>
  </si>
  <si>
    <t>1205-45-1430-50-2030</t>
  </si>
  <si>
    <t>1220-50-1620-60-2160</t>
  </si>
  <si>
    <t>1220-50-1620-60-2220</t>
  </si>
  <si>
    <t>1320-50-1620-60-2220</t>
  </si>
  <si>
    <t>1295-50-1595-60-2255</t>
  </si>
  <si>
    <t>1300-50-1450-60-1690-70-2460</t>
  </si>
  <si>
    <t>1240-50-1590-60-2070-70-2560</t>
  </si>
  <si>
    <t>1350-60-1650-70-2490</t>
  </si>
  <si>
    <t>1350-60-1650-70-2630</t>
  </si>
  <si>
    <t>1385-60-1565-70-2545</t>
  </si>
  <si>
    <t>1385-60-1565-70-2685</t>
  </si>
  <si>
    <t>1405-70-1965-75-2715</t>
  </si>
  <si>
    <t>1435-70-1855-75-2755</t>
  </si>
  <si>
    <t>E-29</t>
  </si>
  <si>
    <t>E-30</t>
  </si>
  <si>
    <t>E-31</t>
  </si>
  <si>
    <t>E-32</t>
  </si>
  <si>
    <t>1470-80-1950-85-2800</t>
  </si>
  <si>
    <t>1988(607 CPI)</t>
  </si>
  <si>
    <t>1993(1030 CPI)</t>
  </si>
  <si>
    <t>2010-35-2290-45-2830</t>
  </si>
  <si>
    <t>2025-35-2200-50-2450-60-2990</t>
  </si>
  <si>
    <t>2035-35-2175-50-2375-60-3035</t>
  </si>
  <si>
    <t>2045-50-2245-60-3085</t>
  </si>
  <si>
    <t>2055-60-2775-65-3230</t>
  </si>
  <si>
    <t>2065-60-2545-70-3315</t>
  </si>
  <si>
    <t>2110-60-2350-70-2700-75-3450</t>
  </si>
  <si>
    <t>2150-70-2780-75-3605</t>
  </si>
  <si>
    <t>2160-70-2720-75-3620</t>
  </si>
  <si>
    <t>2160-70-2720-75-3695</t>
  </si>
  <si>
    <t>2160-70-2720-75-3845</t>
  </si>
  <si>
    <t>2230-70-2720-75-3695</t>
  </si>
  <si>
    <t>2370-70-2720-75-3845</t>
  </si>
  <si>
    <t>2185-75-2710-85-3985</t>
  </si>
  <si>
    <t>2230-75-2605-85-4050</t>
  </si>
  <si>
    <t>2250-85-2930-100-4330</t>
  </si>
  <si>
    <t>2250-85-2930-100-4430</t>
  </si>
  <si>
    <t>2420-85-2930-100-4430</t>
  </si>
  <si>
    <t>2425-85-2935-100-4435</t>
  </si>
  <si>
    <t>2425-85-2680-100-3080-120-4760</t>
  </si>
  <si>
    <t>2275-85-2870-100-3670-120-4870</t>
  </si>
  <si>
    <t>2500-100-3000-120-4800</t>
  </si>
  <si>
    <t>2500-100-3000-120-5040</t>
  </si>
  <si>
    <t>2600-100-2900-120-4940</t>
  </si>
  <si>
    <t>2600-100-2900-120-5180</t>
  </si>
  <si>
    <t>2650-120-3610-140-5430</t>
  </si>
  <si>
    <t>2700-120-3420-140-5520</t>
  </si>
  <si>
    <t>2750-140-3590-150-5690</t>
  </si>
  <si>
    <t>1997(1708 CPI)</t>
  </si>
  <si>
    <t>3700-60-4180-75-5830</t>
  </si>
  <si>
    <t>3840-80-4320-100-6720</t>
  </si>
  <si>
    <t>3900-90-4260-100-6860</t>
  </si>
  <si>
    <t>4000-100-4800-115-7330</t>
  </si>
  <si>
    <t>4160-115-5195-125-7820</t>
  </si>
  <si>
    <t>4300-120-5260-130-8120</t>
  </si>
  <si>
    <t>4640-140-5760-170-9500</t>
  </si>
  <si>
    <t>5000-150-5450-200-10850</t>
  </si>
  <si>
    <t>5500-200-6100-220-11380</t>
  </si>
  <si>
    <t>6170-230-7320-245-11975</t>
  </si>
  <si>
    <t>2007(126 CPI)</t>
  </si>
  <si>
    <t>7800-15800</t>
  </si>
  <si>
    <t>8100-18200</t>
  </si>
  <si>
    <t>8300-18600</t>
  </si>
  <si>
    <t>8600-19900</t>
  </si>
  <si>
    <t>9000-21200</t>
  </si>
  <si>
    <t>9400-22000</t>
  </si>
  <si>
    <t>10200-25700</t>
  </si>
  <si>
    <t>11000-29400</t>
  </si>
  <si>
    <t>12100-30800</t>
  </si>
  <si>
    <t>13600-32400</t>
  </si>
  <si>
    <t>2012(198 CPI)</t>
  </si>
  <si>
    <t>13500-27400</t>
  </si>
  <si>
    <t>14100-31600</t>
  </si>
  <si>
    <t>14400-32300</t>
  </si>
  <si>
    <t>14900-34600</t>
  </si>
  <si>
    <t>15600-36800</t>
  </si>
  <si>
    <t>16300-38200</t>
  </si>
  <si>
    <t>17700-44600</t>
  </si>
  <si>
    <t>19100-51100</t>
  </si>
  <si>
    <t>21000-53500</t>
  </si>
  <si>
    <t>23600-56300</t>
  </si>
  <si>
    <t>2017(277 CPI)</t>
  </si>
  <si>
    <t xml:space="preserve">20900 - 43600 </t>
  </si>
  <si>
    <t>21800 - 50200</t>
  </si>
  <si>
    <t>22300-51000</t>
  </si>
  <si>
    <t>23100 -54600</t>
  </si>
  <si>
    <t>24200 - 58600</t>
  </si>
  <si>
    <t>25200 - 59600</t>
  </si>
  <si>
    <t>27400 - 70500</t>
  </si>
  <si>
    <t>29600 - 81100</t>
  </si>
  <si>
    <t>32500 - 83800</t>
  </si>
  <si>
    <t>36500 - 88700</t>
  </si>
  <si>
    <t>Special D.a From 11.1984</t>
  </si>
  <si>
    <t>S.D.A</t>
  </si>
  <si>
    <t>Lower</t>
  </si>
  <si>
    <t>Upper</t>
  </si>
  <si>
    <t xml:space="preserve">PAY SCALES OF CLASS 3 &amp; 4  </t>
  </si>
  <si>
    <t>PENSION TYPE- FAMILY PENSION</t>
  </si>
  <si>
    <t>EMPLOYEE NAME :</t>
  </si>
  <si>
    <t>PESIONER NAME:</t>
  </si>
  <si>
    <t>CASE NO</t>
  </si>
  <si>
    <t>ROLL NO</t>
  </si>
  <si>
    <t>EMP ID</t>
  </si>
  <si>
    <t>RT DATE</t>
  </si>
  <si>
    <t>TQS</t>
  </si>
  <si>
    <t>DESIGNATION</t>
  </si>
  <si>
    <t>LAST PAY</t>
  </si>
  <si>
    <t>PAY SCALE AS ON 1-1-84</t>
  </si>
  <si>
    <t>PAY SCALE AS ON 1-1-88</t>
  </si>
  <si>
    <t>PAY SCALE AS ON 1-1-93</t>
  </si>
  <si>
    <t>PAY SCALE AS ON 1-1-97</t>
  </si>
  <si>
    <t>PAY SCALE AS ON 1-1-07</t>
  </si>
  <si>
    <t>PAY SCALE AS ON 1-1-12</t>
  </si>
  <si>
    <t>PAY SCALE AS ON 1-1-17</t>
  </si>
  <si>
    <t xml:space="preserve">PARTICULARS </t>
  </si>
  <si>
    <t>V.D.A from 607 to 1030 points amounting Rs.778.45</t>
  </si>
  <si>
    <t>S.D.A (As  per Slab specified in Revision Order)</t>
  </si>
  <si>
    <t>F.D.A (As  per Slab specified in Revision Order)</t>
  </si>
  <si>
    <t>Fitment @ 12.5% (on Basic pay)(Excludung personal &amp; special pay)</t>
  </si>
  <si>
    <t xml:space="preserve">V.D.A(As per slab) </t>
  </si>
  <si>
    <t>CPI diffrence @ Rs.2 from 1030-1099(69*2)=Rs.138</t>
  </si>
  <si>
    <t>Fitment @27.5% on Basic Pay</t>
  </si>
  <si>
    <t>DA @ 78.2% on  Basic</t>
  </si>
  <si>
    <t xml:space="preserve">Fitment @23% on Basic + DA </t>
  </si>
  <si>
    <t>Basic Pay Over 126 CPI Points as on 01.01.2007</t>
  </si>
  <si>
    <t xml:space="preserve">Variable D.A OF 57.14% </t>
  </si>
  <si>
    <t>Fitment of 10.5% of (Basic+D.a)</t>
  </si>
  <si>
    <t>DA@40% On Basic</t>
  </si>
  <si>
    <t>Fitment @ 10.6% on  Basic + DA</t>
  </si>
  <si>
    <t>Basic Pay Over 277 CPI Points as on 01.01.2017</t>
  </si>
  <si>
    <t>Constant</t>
  </si>
  <si>
    <t>AMOUNT</t>
  </si>
  <si>
    <t>as on 01.01.1988</t>
  </si>
  <si>
    <t>constant</t>
  </si>
  <si>
    <t>V.D.A from 455 to 607 points amounting Rs.237.85</t>
  </si>
  <si>
    <t>as per pay revision 1979</t>
  </si>
  <si>
    <t>Fixed Special Allowance</t>
  </si>
  <si>
    <t>Constant (91+59)</t>
  </si>
  <si>
    <t>1979(REVISED PAY SCALE)</t>
  </si>
  <si>
    <t>535-16-743</t>
  </si>
  <si>
    <t>645-19-664-24-736-29-1142</t>
  </si>
  <si>
    <t>360-10-410-11-498-12-558</t>
  </si>
  <si>
    <t>370-11-425-12-533-13-598</t>
  </si>
  <si>
    <t>400-11-411-12-495-14-635</t>
  </si>
  <si>
    <t>420-11-431-13-496-14-664</t>
  </si>
  <si>
    <t>425-12-437-14-549-16-645</t>
  </si>
  <si>
    <t>465-14-549-16-677</t>
  </si>
  <si>
    <t>465-14-479-16-591-19-819</t>
  </si>
  <si>
    <t>532-19-703-24-919</t>
  </si>
  <si>
    <t>575-19-689-24-953</t>
  </si>
  <si>
    <t>600-19-657-24-753-29-1014</t>
  </si>
  <si>
    <t>600-19-657-24-729-29-1135</t>
  </si>
  <si>
    <t>500-19-690-24-786-29-1018</t>
  </si>
  <si>
    <t>500-19-671-24-767-29-1202</t>
  </si>
  <si>
    <t>675-24-723-29-1187</t>
  </si>
  <si>
    <t>750-29-1011-30-1251</t>
  </si>
  <si>
    <t>775-29-978-30-1278</t>
  </si>
  <si>
    <t>800-29-974-30-1244</t>
  </si>
  <si>
    <t>800-29-974-30-1274</t>
  </si>
  <si>
    <t>900-33-1164-34-1300</t>
  </si>
  <si>
    <t>340-8-372-9-417-10-497</t>
  </si>
  <si>
    <t>350-9-386-10-436-11-524</t>
  </si>
  <si>
    <t>330-8-370-9-415-10-475</t>
  </si>
  <si>
    <t xml:space="preserve">Step 1: Put Value Here </t>
  </si>
  <si>
    <t>Step3:- Select from Dropdown (It will generate after step 2)</t>
  </si>
  <si>
    <t>Step 2:- Select from Dropdown  (Allowed after step 1)</t>
  </si>
  <si>
    <t xml:space="preserve">Basic Pay in the existing scale </t>
  </si>
  <si>
    <t>Basic Pay in the existing scale as on 01-01-1984</t>
  </si>
  <si>
    <t>Notional Pay</t>
  </si>
  <si>
    <t>as on 01.01.1984</t>
  </si>
  <si>
    <t>Basic Pay in the existing scale as on 01-01-1988</t>
  </si>
  <si>
    <t>Basic Pay in the existing scale as on 01-01-1994</t>
  </si>
  <si>
    <t xml:space="preserve">Notional basic pay over 1708 CPI </t>
  </si>
  <si>
    <t>Basic Pay in the existing scale as on 01-01-1997</t>
  </si>
  <si>
    <t>as on 01.1.1997</t>
  </si>
  <si>
    <t>as on 01.01.2007</t>
  </si>
  <si>
    <t>Basic Pay Over 198 CPI Points as on 01.01.2012</t>
  </si>
  <si>
    <t xml:space="preserve">as on 01.01.2012. Aggregate to be rounded off to next 10/- </t>
  </si>
  <si>
    <t>as on 01.1.1993</t>
  </si>
  <si>
    <t>as per pay revision 1993</t>
  </si>
  <si>
    <t>as per revision 2007</t>
  </si>
  <si>
    <t>as per pay revision 2012</t>
  </si>
  <si>
    <t>as on 01.01.2017</t>
  </si>
  <si>
    <t>as per pay revision 2017</t>
  </si>
  <si>
    <t>Test</t>
  </si>
  <si>
    <t>as per pay revision 1984 (2 Extra increment)</t>
  </si>
  <si>
    <t>as per pay revision 1997 (1 Extra Increment)</t>
  </si>
  <si>
    <t>325-8-389-9-461</t>
  </si>
  <si>
    <t>450-12-462-16-622-19-793</t>
  </si>
  <si>
    <t>745-26-979-34-1081-40-1601</t>
  </si>
  <si>
    <t>880-34-982-40-1644</t>
  </si>
  <si>
    <t>Fixed Speical Allowance on 31-12-1979</t>
  </si>
  <si>
    <t>Fixed DA</t>
  </si>
  <si>
    <t>Slab Based</t>
  </si>
  <si>
    <t>as per pay revision 1988 (1 Extra Increment)</t>
  </si>
  <si>
    <t>PAY SCALE AS ON 1-1-80</t>
  </si>
  <si>
    <t>CPI 363</t>
  </si>
  <si>
    <t>CPI 455</t>
  </si>
  <si>
    <t>CPI 607</t>
  </si>
  <si>
    <t>CPI 1030</t>
  </si>
  <si>
    <t>CPI 1708</t>
  </si>
  <si>
    <t>CPI 126</t>
  </si>
  <si>
    <t>CPI 198</t>
  </si>
  <si>
    <t>CPI 277</t>
  </si>
  <si>
    <t>Based on Basic Pay as on 01-01-1984</t>
  </si>
  <si>
    <t>DA@30% On Basic</t>
  </si>
  <si>
    <t>Basic Pay as on 01.01.2022</t>
  </si>
  <si>
    <t>29500-62000</t>
  </si>
  <si>
    <t>30700-72300</t>
  </si>
  <si>
    <t>31500-74300</t>
  </si>
  <si>
    <t>32600-79100</t>
  </si>
  <si>
    <t>34100-82900</t>
  </si>
  <si>
    <t>35500-86300</t>
  </si>
  <si>
    <t>38600-99700</t>
  </si>
  <si>
    <t>41800-117600</t>
  </si>
  <si>
    <t>45800-121300</t>
  </si>
  <si>
    <t>51500-128400</t>
  </si>
  <si>
    <t>PAY SCALE AS ON 1-1-22</t>
  </si>
  <si>
    <t>Special allowance(at 2% upto Basic Pay Rs,3000/- else at 4% )</t>
  </si>
  <si>
    <t>CPI 359</t>
  </si>
  <si>
    <t>Fitment @ 8.5%</t>
  </si>
  <si>
    <t>2022(359 CPI)</t>
  </si>
  <si>
    <t>425-12-437-14-549-16-677</t>
  </si>
  <si>
    <t>425-12-437-14-549-16-741</t>
  </si>
  <si>
    <t>480-14-494-19-703-24-874</t>
  </si>
  <si>
    <t>480-14-494-19-703-24-919</t>
  </si>
  <si>
    <t>635-16-763-20-963</t>
  </si>
  <si>
    <t>850-34-1020-40-1620</t>
  </si>
  <si>
    <t>930-40-1210-41-1661</t>
  </si>
  <si>
    <t>PENSION AMOUNT AT 277 CPI(1st pension) ==&gt;</t>
  </si>
  <si>
    <t>PENSION AMOUNT AT 277 CPI(Family pension)==&gt;</t>
  </si>
  <si>
    <t>PENSION AMOUNT AT 359 CPI(1st pension)==&gt;</t>
  </si>
  <si>
    <t>PENSION AMOUNT AT 359 CPI(Family pension)==&gt;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</si>
</sst>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theme="1"/>
      <name val="Bahnschrift Condensed"/>
      <family val="2"/>
    </font>
    <font>
      <sz val="11"/>
      <color theme="1"/>
      <name val="Bahnschrift SemiLight SemiConde"/>
      <family val="2"/>
    </font>
    <font>
      <sz val="11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b/>
      <u/>
      <sz val="16"/>
      <name val="Arial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Bahnschrift Condensed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color theme="1"/>
      <name val="Bahnschrift SemiLight SemiConde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3" xfId="0" applyBorder="1" applyProtection="1">
      <protection locked="0"/>
    </xf>
    <xf numFmtId="0" fontId="1" fillId="0" borderId="3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left"/>
    </xf>
    <xf numFmtId="0" fontId="0" fillId="0" borderId="3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13" fillId="0" borderId="3" xfId="0" applyFont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" fillId="0" borderId="3" xfId="0" applyFont="1" applyBorder="1"/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4" fillId="4" borderId="4" xfId="0" applyFont="1" applyFill="1" applyBorder="1" applyAlignment="1" applyProtection="1">
      <alignment horizontal="center"/>
      <protection locked="0"/>
    </xf>
    <xf numFmtId="14" fontId="4" fillId="4" borderId="4" xfId="0" applyNumberFormat="1" applyFont="1" applyFill="1" applyBorder="1" applyAlignment="1" applyProtection="1">
      <alignment horizontal="center"/>
      <protection locked="0"/>
    </xf>
    <xf numFmtId="0" fontId="9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3" fillId="0" borderId="3" xfId="0" applyFont="1" applyBorder="1"/>
    <xf numFmtId="0" fontId="11" fillId="0" borderId="5" xfId="0" applyFont="1" applyBorder="1"/>
    <xf numFmtId="0" fontId="10" fillId="0" borderId="3" xfId="0" applyFont="1" applyBorder="1" applyAlignment="1">
      <alignment horizontal="center"/>
    </xf>
    <xf numFmtId="0" fontId="7" fillId="0" borderId="3" xfId="0" applyFont="1" applyBorder="1"/>
    <xf numFmtId="0" fontId="1" fillId="0" borderId="1" xfId="0" applyFont="1" applyBorder="1"/>
    <xf numFmtId="0" fontId="1" fillId="0" borderId="6" xfId="0" applyFont="1" applyBorder="1" applyAlignment="1">
      <alignment horizontal="center"/>
    </xf>
    <xf numFmtId="0" fontId="0" fillId="0" borderId="2" xfId="0" applyBorder="1"/>
    <xf numFmtId="0" fontId="7" fillId="0" borderId="2" xfId="0" applyFont="1" applyBorder="1"/>
    <xf numFmtId="0" fontId="1" fillId="0" borderId="0" xfId="0" applyFont="1"/>
    <xf numFmtId="0" fontId="0" fillId="0" borderId="1" xfId="0" applyBorder="1"/>
    <xf numFmtId="0" fontId="0" fillId="0" borderId="6" xfId="0" applyBorder="1" applyAlignment="1">
      <alignment horizontal="center"/>
    </xf>
    <xf numFmtId="0" fontId="1" fillId="0" borderId="1" xfId="0" applyFont="1" applyBorder="1" applyAlignment="1">
      <alignment wrapText="1"/>
    </xf>
    <xf numFmtId="0" fontId="7" fillId="0" borderId="2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10" fontId="0" fillId="0" borderId="3" xfId="0" applyNumberFormat="1" applyBorder="1"/>
    <xf numFmtId="0" fontId="1" fillId="0" borderId="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left" wrapText="1"/>
    </xf>
    <xf numFmtId="0" fontId="1" fillId="0" borderId="8" xfId="0" applyFont="1" applyBorder="1" applyAlignment="1">
      <alignment horizontal="center" wrapText="1"/>
    </xf>
    <xf numFmtId="2" fontId="0" fillId="0" borderId="3" xfId="0" applyNumberFormat="1" applyBorder="1" applyAlignment="1">
      <alignment horizontal="center"/>
    </xf>
    <xf numFmtId="0" fontId="7" fillId="0" borderId="2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2" fontId="1" fillId="0" borderId="10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10" fontId="0" fillId="0" borderId="0" xfId="0" applyNumberFormat="1"/>
    <xf numFmtId="10" fontId="1" fillId="0" borderId="0" xfId="0" applyNumberFormat="1" applyFont="1" applyAlignment="1">
      <alignment wrapText="1"/>
    </xf>
    <xf numFmtId="10" fontId="0" fillId="0" borderId="0" xfId="0" applyNumberFormat="1" applyAlignment="1">
      <alignment wrapText="1"/>
    </xf>
    <xf numFmtId="0" fontId="1" fillId="5" borderId="0" xfId="0" applyFont="1" applyFill="1"/>
    <xf numFmtId="2" fontId="0" fillId="0" borderId="10" xfId="0" applyNumberFormat="1" applyBorder="1" applyAlignment="1">
      <alignment horizontal="center" wrapText="1"/>
    </xf>
    <xf numFmtId="14" fontId="15" fillId="4" borderId="4" xfId="0" applyNumberFormat="1" applyFont="1" applyFill="1" applyBorder="1" applyAlignment="1" applyProtection="1">
      <alignment horizontal="center"/>
      <protection locked="0"/>
    </xf>
    <xf numFmtId="0" fontId="15" fillId="4" borderId="4" xfId="0" applyFont="1" applyFill="1" applyBorder="1" applyAlignment="1" applyProtection="1">
      <alignment horizontal="center"/>
      <protection locked="0"/>
    </xf>
    <xf numFmtId="0" fontId="17" fillId="0" borderId="1" xfId="0" applyFont="1" applyBorder="1"/>
    <xf numFmtId="0" fontId="1" fillId="0" borderId="2" xfId="0" applyFont="1" applyBorder="1"/>
    <xf numFmtId="2" fontId="0" fillId="0" borderId="6" xfId="0" applyNumberFormat="1" applyBorder="1" applyAlignment="1">
      <alignment horizontal="center"/>
    </xf>
    <xf numFmtId="0" fontId="0" fillId="0" borderId="1" xfId="0" applyBorder="1" applyAlignment="1">
      <alignment wrapText="1"/>
    </xf>
    <xf numFmtId="2" fontId="0" fillId="0" borderId="7" xfId="0" applyNumberFormat="1" applyBorder="1" applyAlignment="1">
      <alignment horizontal="center"/>
    </xf>
    <xf numFmtId="2" fontId="0" fillId="0" borderId="6" xfId="0" applyNumberForma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18" fillId="0" borderId="0" xfId="0" applyFont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0" fontId="7" fillId="0" borderId="0" xfId="0" applyFont="1" applyAlignment="1">
      <alignment wrapText="1"/>
    </xf>
    <xf numFmtId="0" fontId="0" fillId="0" borderId="17" xfId="0" applyBorder="1"/>
    <xf numFmtId="2" fontId="1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wrapText="1"/>
    </xf>
    <xf numFmtId="2" fontId="1" fillId="0" borderId="13" xfId="0" applyNumberFormat="1" applyFont="1" applyBorder="1" applyAlignment="1">
      <alignment horizontal="center" vertical="center"/>
    </xf>
    <xf numFmtId="0" fontId="7" fillId="0" borderId="13" xfId="0" applyFont="1" applyBorder="1" applyAlignment="1">
      <alignment wrapText="1"/>
    </xf>
    <xf numFmtId="0" fontId="7" fillId="0" borderId="18" xfId="0" applyFont="1" applyBorder="1" applyAlignment="1">
      <alignment wrapText="1"/>
    </xf>
    <xf numFmtId="0" fontId="0" fillId="0" borderId="11" xfId="0" applyBorder="1"/>
    <xf numFmtId="0" fontId="1" fillId="4" borderId="3" xfId="0" applyFont="1" applyFill="1" applyBorder="1" applyAlignment="1" applyProtection="1">
      <alignment horizontal="left"/>
      <protection locked="0"/>
    </xf>
    <xf numFmtId="0" fontId="19" fillId="0" borderId="3" xfId="0" applyFont="1" applyBorder="1" applyAlignment="1">
      <alignment horizontal="center"/>
    </xf>
    <xf numFmtId="0" fontId="11" fillId="6" borderId="5" xfId="0" applyFont="1" applyFill="1" applyBorder="1"/>
    <xf numFmtId="0" fontId="5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" fillId="0" borderId="3" xfId="0" applyFont="1" applyFill="1" applyBorder="1" applyAlignment="1" applyProtection="1">
      <alignment horizontal="left"/>
    </xf>
    <xf numFmtId="15" fontId="1" fillId="0" borderId="3" xfId="0" applyNumberFormat="1" applyFont="1" applyFill="1" applyBorder="1" applyAlignment="1" applyProtection="1">
      <alignment horizontal="left"/>
    </xf>
    <xf numFmtId="0" fontId="16" fillId="0" borderId="3" xfId="0" applyFont="1" applyBorder="1"/>
    <xf numFmtId="0" fontId="11" fillId="7" borderId="5" xfId="0" applyFont="1" applyFill="1" applyBorder="1"/>
    <xf numFmtId="0" fontId="16" fillId="0" borderId="0" xfId="0" applyFont="1" applyBorder="1" applyAlignment="1">
      <alignment wrapText="1"/>
    </xf>
    <xf numFmtId="0" fontId="1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1" fontId="10" fillId="0" borderId="0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910648</xdr:colOff>
      <xdr:row>2</xdr:row>
      <xdr:rowOff>187325</xdr:rowOff>
    </xdr:to>
    <xdr:pic>
      <xdr:nvPicPr>
        <xdr:cNvPr id="2" name="Picture 1" descr="D:\Pro\Current Affairs\download.png">
          <a:extLst>
            <a:ext uri="{FF2B5EF4-FFF2-40B4-BE49-F238E27FC236}">
              <a16:creationId xmlns:a16="http://schemas.microsoft.com/office/drawing/2014/main" id="{2DAECD5A-34D3-4645-AC7F-711F58455697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904875" cy="568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910648</xdr:colOff>
      <xdr:row>2</xdr:row>
      <xdr:rowOff>187325</xdr:rowOff>
    </xdr:to>
    <xdr:pic>
      <xdr:nvPicPr>
        <xdr:cNvPr id="3" name="Picture 2" descr="D:\Pro\Current Affairs\download.png">
          <a:extLst>
            <a:ext uri="{FF2B5EF4-FFF2-40B4-BE49-F238E27FC236}">
              <a16:creationId xmlns:a16="http://schemas.microsoft.com/office/drawing/2014/main" id="{88DA0FEE-80A1-E044-919C-16BCF68B691B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910648" cy="631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DA@30%25%20On%20Basic" TargetMode="External"/><Relationship Id="rId1" Type="http://schemas.openxmlformats.org/officeDocument/2006/relationships/hyperlink" Target="mailto:DA@40%25%20On%20Basi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ookup_scale"/>
  <dimension ref="A1:U34"/>
  <sheetViews>
    <sheetView topLeftCell="B10" zoomScaleNormal="100" workbookViewId="0">
      <selection activeCell="C29" sqref="C29"/>
    </sheetView>
  </sheetViews>
  <sheetFormatPr baseColWidth="10" defaultColWidth="8.83203125" defaultRowHeight="15"/>
  <cols>
    <col min="1" max="1" width="6.33203125" style="1" customWidth="1"/>
    <col min="2" max="2" width="5.1640625" style="1" bestFit="1" customWidth="1"/>
    <col min="3" max="3" width="29.33203125" customWidth="1"/>
    <col min="4" max="4" width="27.5" bestFit="1" customWidth="1"/>
    <col min="5" max="5" width="31.1640625" bestFit="1" customWidth="1"/>
    <col min="6" max="6" width="33.5" style="2" bestFit="1" customWidth="1"/>
    <col min="7" max="7" width="22" bestFit="1" customWidth="1"/>
    <col min="8" max="8" width="15.5" customWidth="1"/>
    <col min="9" max="10" width="12.6640625" bestFit="1" customWidth="1"/>
    <col min="11" max="11" width="11.6640625" bestFit="1" customWidth="1"/>
    <col min="12" max="12" width="9.1640625" bestFit="1" customWidth="1"/>
    <col min="15" max="15" width="20.83203125" bestFit="1" customWidth="1"/>
    <col min="16" max="16" width="10" bestFit="1" customWidth="1"/>
    <col min="17" max="17" width="9" bestFit="1" customWidth="1"/>
    <col min="22" max="22" width="9" bestFit="1" customWidth="1"/>
    <col min="23" max="23" width="9.1640625" bestFit="1" customWidth="1"/>
    <col min="24" max="25" width="9" bestFit="1" customWidth="1"/>
  </cols>
  <sheetData>
    <row r="1" spans="1:21" ht="17">
      <c r="A1" s="87" t="s">
        <v>169</v>
      </c>
      <c r="B1" s="87"/>
      <c r="C1" s="87"/>
      <c r="D1" s="87"/>
      <c r="E1" s="87"/>
      <c r="F1" s="87"/>
      <c r="G1" s="87"/>
      <c r="H1" s="87"/>
      <c r="I1" s="87"/>
    </row>
    <row r="2" spans="1:21">
      <c r="A2" s="4" t="s">
        <v>1</v>
      </c>
      <c r="B2" s="4" t="s">
        <v>27</v>
      </c>
      <c r="C2" s="5" t="s">
        <v>211</v>
      </c>
      <c r="D2" s="5" t="s">
        <v>2</v>
      </c>
      <c r="E2" s="5" t="s">
        <v>91</v>
      </c>
      <c r="F2" s="6" t="s">
        <v>92</v>
      </c>
      <c r="G2" s="6" t="s">
        <v>121</v>
      </c>
      <c r="H2" s="6" t="s">
        <v>132</v>
      </c>
      <c r="I2" s="6" t="s">
        <v>143</v>
      </c>
      <c r="J2" s="19" t="s">
        <v>154</v>
      </c>
      <c r="K2" s="19" t="s">
        <v>294</v>
      </c>
    </row>
    <row r="3" spans="1:21">
      <c r="A3" s="7">
        <v>1</v>
      </c>
      <c r="B3" s="7" t="s">
        <v>3</v>
      </c>
      <c r="C3" s="13" t="s">
        <v>260</v>
      </c>
      <c r="D3" s="13" t="s">
        <v>34</v>
      </c>
      <c r="E3" s="17" t="s">
        <v>59</v>
      </c>
      <c r="F3" s="17" t="s">
        <v>93</v>
      </c>
      <c r="G3" s="9" t="s">
        <v>122</v>
      </c>
      <c r="H3" s="9" t="s">
        <v>133</v>
      </c>
      <c r="I3" s="9" t="s">
        <v>144</v>
      </c>
      <c r="J3" s="8" t="s">
        <v>155</v>
      </c>
      <c r="K3" s="8" t="s">
        <v>280</v>
      </c>
    </row>
    <row r="4" spans="1:21">
      <c r="A4" s="7">
        <v>2</v>
      </c>
      <c r="B4" s="7" t="s">
        <v>4</v>
      </c>
      <c r="C4" s="13" t="s">
        <v>235</v>
      </c>
      <c r="D4" s="13" t="s">
        <v>35</v>
      </c>
      <c r="E4" s="17" t="s">
        <v>60</v>
      </c>
      <c r="F4" s="17" t="s">
        <v>94</v>
      </c>
      <c r="G4" s="9" t="s">
        <v>123</v>
      </c>
      <c r="H4" s="9" t="s">
        <v>134</v>
      </c>
      <c r="I4" s="9" t="s">
        <v>145</v>
      </c>
      <c r="J4" s="8" t="s">
        <v>156</v>
      </c>
      <c r="K4" s="8" t="s">
        <v>281</v>
      </c>
      <c r="O4" s="6" t="s">
        <v>28</v>
      </c>
      <c r="P4" s="8"/>
      <c r="Q4" s="8"/>
      <c r="R4" s="8"/>
    </row>
    <row r="5" spans="1:21">
      <c r="A5" s="7">
        <v>3</v>
      </c>
      <c r="B5" s="7" t="s">
        <v>5</v>
      </c>
      <c r="C5" s="13" t="s">
        <v>233</v>
      </c>
      <c r="D5" s="13" t="s">
        <v>36</v>
      </c>
      <c r="E5" s="17" t="s">
        <v>61</v>
      </c>
      <c r="F5" s="17" t="s">
        <v>95</v>
      </c>
      <c r="G5" s="9" t="s">
        <v>123</v>
      </c>
      <c r="H5" s="9" t="s">
        <v>134</v>
      </c>
      <c r="I5" s="9" t="s">
        <v>145</v>
      </c>
      <c r="J5" s="8" t="s">
        <v>156</v>
      </c>
      <c r="K5" s="8" t="s">
        <v>281</v>
      </c>
      <c r="O5" s="9" t="s">
        <v>29</v>
      </c>
      <c r="P5" s="9" t="s">
        <v>30</v>
      </c>
      <c r="Q5" s="9" t="s">
        <v>32</v>
      </c>
      <c r="R5" s="9" t="s">
        <v>31</v>
      </c>
    </row>
    <row r="6" spans="1:21">
      <c r="A6" s="7">
        <v>4</v>
      </c>
      <c r="B6" s="7" t="s">
        <v>6</v>
      </c>
      <c r="C6" s="52" t="s">
        <v>234</v>
      </c>
      <c r="D6" s="13" t="s">
        <v>37</v>
      </c>
      <c r="E6" s="18" t="s">
        <v>62</v>
      </c>
      <c r="F6" s="17" t="s">
        <v>96</v>
      </c>
      <c r="G6" s="9" t="s">
        <v>124</v>
      </c>
      <c r="H6" s="9" t="s">
        <v>135</v>
      </c>
      <c r="I6" s="9" t="s">
        <v>146</v>
      </c>
      <c r="J6" s="8" t="s">
        <v>157</v>
      </c>
      <c r="K6" s="8" t="s">
        <v>282</v>
      </c>
      <c r="O6" s="8">
        <v>1</v>
      </c>
      <c r="P6" s="8">
        <v>3500</v>
      </c>
      <c r="Q6" s="8">
        <v>1218</v>
      </c>
      <c r="R6" s="41">
        <v>0.55410000000000004</v>
      </c>
    </row>
    <row r="7" spans="1:21">
      <c r="A7" s="7">
        <v>5</v>
      </c>
      <c r="B7" s="7" t="s">
        <v>7</v>
      </c>
      <c r="C7" s="52" t="s">
        <v>214</v>
      </c>
      <c r="D7" s="13" t="s">
        <v>38</v>
      </c>
      <c r="E7" s="17" t="s">
        <v>63</v>
      </c>
      <c r="F7" s="17" t="s">
        <v>97</v>
      </c>
      <c r="G7" s="9" t="s">
        <v>125</v>
      </c>
      <c r="H7" s="9" t="s">
        <v>136</v>
      </c>
      <c r="I7" s="9" t="s">
        <v>147</v>
      </c>
      <c r="J7" s="8" t="s">
        <v>158</v>
      </c>
      <c r="K7" s="8" t="s">
        <v>283</v>
      </c>
      <c r="O7" s="8">
        <v>3501</v>
      </c>
      <c r="P7" s="8">
        <v>6500</v>
      </c>
      <c r="Q7" s="8">
        <v>1939</v>
      </c>
      <c r="R7" s="41">
        <v>0.41560000000000002</v>
      </c>
    </row>
    <row r="8" spans="1:21">
      <c r="A8" s="7">
        <v>6</v>
      </c>
      <c r="B8" s="7" t="s">
        <v>8</v>
      </c>
      <c r="C8" s="52" t="s">
        <v>215</v>
      </c>
      <c r="D8" s="13" t="s">
        <v>39</v>
      </c>
      <c r="E8" s="17" t="s">
        <v>64</v>
      </c>
      <c r="F8" s="17" t="s">
        <v>98</v>
      </c>
      <c r="G8" s="9" t="s">
        <v>125</v>
      </c>
      <c r="H8" s="9" t="s">
        <v>136</v>
      </c>
      <c r="I8" s="9" t="s">
        <v>147</v>
      </c>
      <c r="J8" s="8" t="s">
        <v>158</v>
      </c>
      <c r="K8" s="8" t="s">
        <v>283</v>
      </c>
      <c r="O8" s="8">
        <v>6501</v>
      </c>
      <c r="P8" s="8">
        <v>9500</v>
      </c>
      <c r="Q8" s="8">
        <v>2701</v>
      </c>
      <c r="R8" s="41">
        <v>0.33239999999999997</v>
      </c>
    </row>
    <row r="9" spans="1:21">
      <c r="A9" s="7">
        <v>7</v>
      </c>
      <c r="B9" s="7" t="s">
        <v>9</v>
      </c>
      <c r="C9" s="52" t="s">
        <v>216</v>
      </c>
      <c r="D9" s="13" t="s">
        <v>299</v>
      </c>
      <c r="E9" s="17" t="s">
        <v>65</v>
      </c>
      <c r="F9" s="17" t="s">
        <v>99</v>
      </c>
      <c r="G9" s="9" t="s">
        <v>126</v>
      </c>
      <c r="H9" s="9" t="s">
        <v>137</v>
      </c>
      <c r="I9" s="9" t="s">
        <v>148</v>
      </c>
      <c r="J9" s="8" t="s">
        <v>159</v>
      </c>
      <c r="K9" s="8" t="s">
        <v>284</v>
      </c>
      <c r="O9" s="8">
        <v>9501</v>
      </c>
      <c r="P9" s="8">
        <v>10000000</v>
      </c>
      <c r="Q9" s="8">
        <v>3158</v>
      </c>
      <c r="R9" s="41">
        <v>0.27700000000000002</v>
      </c>
    </row>
    <row r="10" spans="1:21">
      <c r="A10" s="7">
        <v>8</v>
      </c>
      <c r="B10" s="7" t="s">
        <v>10</v>
      </c>
      <c r="C10" s="53" t="s">
        <v>217</v>
      </c>
      <c r="D10" s="13" t="s">
        <v>40</v>
      </c>
      <c r="E10" s="17" t="s">
        <v>66</v>
      </c>
      <c r="F10" s="17" t="s">
        <v>100</v>
      </c>
      <c r="G10" s="9" t="s">
        <v>126</v>
      </c>
      <c r="H10" s="9" t="s">
        <v>137</v>
      </c>
      <c r="I10" s="9" t="s">
        <v>148</v>
      </c>
      <c r="J10" s="8" t="s">
        <v>159</v>
      </c>
      <c r="K10" s="8" t="s">
        <v>284</v>
      </c>
      <c r="O10" s="8"/>
      <c r="P10" s="8"/>
      <c r="Q10" s="8"/>
    </row>
    <row r="11" spans="1:21">
      <c r="A11" s="7">
        <v>9</v>
      </c>
      <c r="B11" s="7" t="s">
        <v>11</v>
      </c>
      <c r="C11" s="53" t="s">
        <v>218</v>
      </c>
      <c r="D11" s="13" t="s">
        <v>41</v>
      </c>
      <c r="E11" s="18" t="s">
        <v>67</v>
      </c>
      <c r="F11" s="17" t="s">
        <v>101</v>
      </c>
      <c r="G11" s="9" t="s">
        <v>127</v>
      </c>
      <c r="H11" s="9" t="s">
        <v>138</v>
      </c>
      <c r="I11" s="9" t="s">
        <v>149</v>
      </c>
      <c r="J11" s="8" t="s">
        <v>160</v>
      </c>
      <c r="K11" s="8" t="s">
        <v>285</v>
      </c>
    </row>
    <row r="12" spans="1:21">
      <c r="A12" s="7">
        <v>10</v>
      </c>
      <c r="B12" s="7" t="s">
        <v>12</v>
      </c>
      <c r="C12" s="53" t="s">
        <v>295</v>
      </c>
      <c r="D12" s="14" t="s">
        <v>42</v>
      </c>
      <c r="E12" s="18" t="s">
        <v>68</v>
      </c>
      <c r="F12" s="17" t="s">
        <v>102</v>
      </c>
      <c r="G12" s="9" t="s">
        <v>127</v>
      </c>
      <c r="H12" s="9" t="s">
        <v>138</v>
      </c>
      <c r="I12" s="9" t="s">
        <v>149</v>
      </c>
      <c r="J12" s="8" t="s">
        <v>160</v>
      </c>
      <c r="K12" s="8" t="s">
        <v>285</v>
      </c>
    </row>
    <row r="13" spans="1:21">
      <c r="A13" s="7">
        <v>11</v>
      </c>
      <c r="B13" s="7" t="s">
        <v>13</v>
      </c>
      <c r="C13" s="16" t="s">
        <v>296</v>
      </c>
      <c r="D13" s="14" t="s">
        <v>43</v>
      </c>
      <c r="E13" s="18" t="s">
        <v>69</v>
      </c>
      <c r="F13" s="17" t="s">
        <v>103</v>
      </c>
      <c r="G13" s="9" t="s">
        <v>127</v>
      </c>
      <c r="H13" s="9" t="s">
        <v>138</v>
      </c>
      <c r="I13" s="9" t="s">
        <v>149</v>
      </c>
      <c r="J13" s="8" t="s">
        <v>160</v>
      </c>
      <c r="K13" s="8" t="s">
        <v>285</v>
      </c>
    </row>
    <row r="14" spans="1:21">
      <c r="A14" s="7">
        <v>12</v>
      </c>
      <c r="B14" s="7" t="s">
        <v>14</v>
      </c>
      <c r="C14" s="16" t="s">
        <v>219</v>
      </c>
      <c r="D14" s="14" t="s">
        <v>44</v>
      </c>
      <c r="E14" s="18" t="s">
        <v>70</v>
      </c>
      <c r="F14" s="17" t="s">
        <v>104</v>
      </c>
      <c r="G14" s="9" t="s">
        <v>127</v>
      </c>
      <c r="H14" s="9" t="s">
        <v>138</v>
      </c>
      <c r="I14" s="9" t="s">
        <v>149</v>
      </c>
      <c r="J14" s="8" t="s">
        <v>160</v>
      </c>
      <c r="K14" s="8" t="s">
        <v>285</v>
      </c>
      <c r="O14" s="88" t="s">
        <v>165</v>
      </c>
      <c r="P14" s="88"/>
      <c r="Q14" s="88"/>
      <c r="S14" s="88" t="s">
        <v>264</v>
      </c>
      <c r="T14" s="88"/>
      <c r="U14" s="88"/>
    </row>
    <row r="15" spans="1:21">
      <c r="A15" s="7">
        <v>13</v>
      </c>
      <c r="B15" s="7" t="s">
        <v>15</v>
      </c>
      <c r="C15" s="16" t="s">
        <v>212</v>
      </c>
      <c r="D15" s="14" t="s">
        <v>33</v>
      </c>
      <c r="E15" s="18" t="s">
        <v>71</v>
      </c>
      <c r="F15" s="17" t="s">
        <v>105</v>
      </c>
      <c r="G15" s="9" t="s">
        <v>127</v>
      </c>
      <c r="H15" s="9" t="s">
        <v>138</v>
      </c>
      <c r="I15" s="9" t="s">
        <v>149</v>
      </c>
      <c r="J15" s="8" t="s">
        <v>160</v>
      </c>
      <c r="K15" s="8" t="s">
        <v>285</v>
      </c>
      <c r="O15" s="10" t="s">
        <v>167</v>
      </c>
      <c r="P15" s="10" t="s">
        <v>168</v>
      </c>
      <c r="Q15" s="10" t="s">
        <v>166</v>
      </c>
      <c r="S15" s="10" t="s">
        <v>167</v>
      </c>
      <c r="T15" s="10" t="s">
        <v>168</v>
      </c>
      <c r="U15" s="10" t="s">
        <v>166</v>
      </c>
    </row>
    <row r="16" spans="1:21">
      <c r="A16" s="7">
        <v>14</v>
      </c>
      <c r="B16" s="7" t="s">
        <v>16</v>
      </c>
      <c r="C16" s="16" t="s">
        <v>261</v>
      </c>
      <c r="D16" s="14" t="s">
        <v>45</v>
      </c>
      <c r="E16" s="18" t="s">
        <v>72</v>
      </c>
      <c r="F16" s="17" t="s">
        <v>106</v>
      </c>
      <c r="G16" s="8" t="s">
        <v>128</v>
      </c>
      <c r="H16" s="9" t="s">
        <v>139</v>
      </c>
      <c r="I16" s="9" t="s">
        <v>150</v>
      </c>
      <c r="J16" s="8" t="s">
        <v>161</v>
      </c>
      <c r="K16" s="8" t="s">
        <v>286</v>
      </c>
      <c r="O16" s="10">
        <v>0</v>
      </c>
      <c r="P16" s="10">
        <v>579</v>
      </c>
      <c r="Q16" s="10">
        <v>35.1</v>
      </c>
      <c r="S16" s="10">
        <v>325</v>
      </c>
      <c r="T16" s="10">
        <v>400</v>
      </c>
      <c r="U16" s="10">
        <v>83</v>
      </c>
    </row>
    <row r="17" spans="1:21">
      <c r="A17" s="7">
        <v>15</v>
      </c>
      <c r="B17" s="7" t="s">
        <v>17</v>
      </c>
      <c r="C17" s="54" t="s">
        <v>220</v>
      </c>
      <c r="D17" s="14" t="s">
        <v>46</v>
      </c>
      <c r="E17" s="18" t="s">
        <v>73</v>
      </c>
      <c r="F17" s="17" t="s">
        <v>107</v>
      </c>
      <c r="G17" s="8" t="s">
        <v>128</v>
      </c>
      <c r="H17" s="9" t="s">
        <v>139</v>
      </c>
      <c r="I17" s="9" t="s">
        <v>150</v>
      </c>
      <c r="J17" s="8" t="s">
        <v>161</v>
      </c>
      <c r="K17" s="8" t="s">
        <v>286</v>
      </c>
      <c r="O17" s="10">
        <v>580</v>
      </c>
      <c r="P17" s="10">
        <v>599</v>
      </c>
      <c r="Q17" s="10">
        <v>40.1</v>
      </c>
      <c r="S17" s="10">
        <v>401</v>
      </c>
      <c r="T17" s="10">
        <v>500</v>
      </c>
      <c r="U17" s="10">
        <v>93</v>
      </c>
    </row>
    <row r="18" spans="1:21">
      <c r="A18" s="7">
        <v>16</v>
      </c>
      <c r="B18" s="7" t="s">
        <v>18</v>
      </c>
      <c r="C18" s="54" t="s">
        <v>297</v>
      </c>
      <c r="D18" s="14" t="s">
        <v>47</v>
      </c>
      <c r="E18" s="18" t="s">
        <v>74</v>
      </c>
      <c r="F18" s="17" t="s">
        <v>108</v>
      </c>
      <c r="G18" s="8" t="s">
        <v>128</v>
      </c>
      <c r="H18" s="9" t="s">
        <v>139</v>
      </c>
      <c r="I18" s="9" t="s">
        <v>150</v>
      </c>
      <c r="J18" s="8" t="s">
        <v>161</v>
      </c>
      <c r="K18" s="8" t="s">
        <v>286</v>
      </c>
      <c r="O18" s="10">
        <v>600</v>
      </c>
      <c r="P18" s="10">
        <v>609</v>
      </c>
      <c r="Q18" s="10">
        <v>42.6</v>
      </c>
      <c r="S18" s="10">
        <v>501</v>
      </c>
      <c r="T18" s="10">
        <v>600</v>
      </c>
      <c r="U18" s="10">
        <v>100</v>
      </c>
    </row>
    <row r="19" spans="1:21">
      <c r="A19" s="7">
        <v>17</v>
      </c>
      <c r="B19" s="7" t="s">
        <v>19</v>
      </c>
      <c r="C19" s="54" t="s">
        <v>298</v>
      </c>
      <c r="D19" s="14" t="s">
        <v>48</v>
      </c>
      <c r="E19" s="18" t="s">
        <v>75</v>
      </c>
      <c r="F19" s="17" t="s">
        <v>109</v>
      </c>
      <c r="G19" s="8" t="s">
        <v>128</v>
      </c>
      <c r="H19" s="9" t="s">
        <v>139</v>
      </c>
      <c r="I19" s="9" t="s">
        <v>150</v>
      </c>
      <c r="J19" s="8" t="s">
        <v>161</v>
      </c>
      <c r="K19" s="8" t="s">
        <v>286</v>
      </c>
      <c r="O19" s="10">
        <v>610</v>
      </c>
      <c r="P19" s="10">
        <v>619</v>
      </c>
      <c r="Q19" s="10">
        <v>45.1</v>
      </c>
      <c r="S19" s="10">
        <v>601</v>
      </c>
      <c r="T19" s="10">
        <v>700</v>
      </c>
      <c r="U19" s="10">
        <v>110</v>
      </c>
    </row>
    <row r="20" spans="1:21">
      <c r="A20" s="7">
        <v>18</v>
      </c>
      <c r="B20" s="7" t="s">
        <v>20</v>
      </c>
      <c r="C20" s="55" t="s">
        <v>221</v>
      </c>
      <c r="D20" s="14" t="s">
        <v>49</v>
      </c>
      <c r="E20" s="18" t="s">
        <v>76</v>
      </c>
      <c r="F20" s="17" t="s">
        <v>110</v>
      </c>
      <c r="G20" s="8" t="s">
        <v>129</v>
      </c>
      <c r="H20" s="9" t="s">
        <v>140</v>
      </c>
      <c r="I20" s="9" t="s">
        <v>151</v>
      </c>
      <c r="J20" s="8" t="s">
        <v>162</v>
      </c>
      <c r="K20" s="8" t="s">
        <v>287</v>
      </c>
      <c r="O20" s="10">
        <v>620</v>
      </c>
      <c r="P20" s="10">
        <v>629</v>
      </c>
      <c r="Q20" s="10">
        <v>42.6</v>
      </c>
      <c r="S20" s="10">
        <v>701</v>
      </c>
      <c r="T20" s="10">
        <v>10000000</v>
      </c>
      <c r="U20" s="10">
        <v>125</v>
      </c>
    </row>
    <row r="21" spans="1:21" ht="16" thickBot="1">
      <c r="A21" s="7">
        <v>19</v>
      </c>
      <c r="B21" s="7" t="s">
        <v>21</v>
      </c>
      <c r="C21" s="54" t="s">
        <v>222</v>
      </c>
      <c r="D21" s="14" t="s">
        <v>50</v>
      </c>
      <c r="E21" s="18" t="s">
        <v>77</v>
      </c>
      <c r="F21" s="17" t="s">
        <v>111</v>
      </c>
      <c r="G21" s="8" t="s">
        <v>129</v>
      </c>
      <c r="H21" s="9" t="s">
        <v>140</v>
      </c>
      <c r="I21" s="9" t="s">
        <v>151</v>
      </c>
      <c r="J21" s="8" t="s">
        <v>162</v>
      </c>
      <c r="K21" s="8" t="s">
        <v>287</v>
      </c>
      <c r="O21" s="10">
        <v>630</v>
      </c>
      <c r="P21" s="10">
        <v>707</v>
      </c>
      <c r="Q21" s="10">
        <v>45.1</v>
      </c>
    </row>
    <row r="22" spans="1:21">
      <c r="A22" s="7">
        <v>20</v>
      </c>
      <c r="B22" s="7" t="s">
        <v>22</v>
      </c>
      <c r="C22" s="56" t="s">
        <v>223</v>
      </c>
      <c r="D22" s="14" t="s">
        <v>51</v>
      </c>
      <c r="E22" s="18" t="s">
        <v>78</v>
      </c>
      <c r="F22" s="17" t="s">
        <v>112</v>
      </c>
      <c r="G22" s="8" t="s">
        <v>129</v>
      </c>
      <c r="H22" s="9" t="s">
        <v>140</v>
      </c>
      <c r="I22" s="9" t="s">
        <v>151</v>
      </c>
      <c r="J22" s="8" t="s">
        <v>162</v>
      </c>
      <c r="K22" s="8" t="s">
        <v>287</v>
      </c>
      <c r="O22" s="10">
        <v>708</v>
      </c>
      <c r="P22" s="10">
        <v>718</v>
      </c>
      <c r="Q22" s="10">
        <v>47.6</v>
      </c>
    </row>
    <row r="23" spans="1:21" ht="16" thickBot="1">
      <c r="A23" s="7">
        <v>21</v>
      </c>
      <c r="B23" s="7" t="s">
        <v>23</v>
      </c>
      <c r="C23" s="57" t="s">
        <v>224</v>
      </c>
      <c r="D23" s="14" t="s">
        <v>51</v>
      </c>
      <c r="E23" s="18" t="s">
        <v>78</v>
      </c>
      <c r="F23" s="17" t="s">
        <v>112</v>
      </c>
      <c r="G23" s="8" t="s">
        <v>129</v>
      </c>
      <c r="H23" s="9" t="s">
        <v>140</v>
      </c>
      <c r="I23" s="9" t="s">
        <v>151</v>
      </c>
      <c r="J23" s="8" t="s">
        <v>162</v>
      </c>
      <c r="K23" s="8" t="s">
        <v>287</v>
      </c>
      <c r="O23" s="10">
        <v>719</v>
      </c>
      <c r="P23" s="10">
        <v>730</v>
      </c>
      <c r="Q23" s="10">
        <v>50.1</v>
      </c>
    </row>
    <row r="24" spans="1:21">
      <c r="A24" s="7">
        <v>22</v>
      </c>
      <c r="B24" s="7" t="s">
        <v>24</v>
      </c>
      <c r="C24" s="56" t="s">
        <v>225</v>
      </c>
      <c r="D24" s="14" t="s">
        <v>262</v>
      </c>
      <c r="E24" s="18" t="s">
        <v>79</v>
      </c>
      <c r="F24" s="17" t="s">
        <v>113</v>
      </c>
      <c r="G24" s="8" t="s">
        <v>129</v>
      </c>
      <c r="H24" s="9" t="s">
        <v>140</v>
      </c>
      <c r="I24" s="9" t="s">
        <v>151</v>
      </c>
      <c r="J24" s="8" t="s">
        <v>162</v>
      </c>
      <c r="K24" s="8" t="s">
        <v>287</v>
      </c>
      <c r="O24" s="10">
        <v>731</v>
      </c>
      <c r="P24" s="10">
        <v>741</v>
      </c>
      <c r="Q24" s="10">
        <v>52.6</v>
      </c>
    </row>
    <row r="25" spans="1:21" ht="16" thickBot="1">
      <c r="A25" s="7">
        <v>23</v>
      </c>
      <c r="B25" s="7" t="s">
        <v>25</v>
      </c>
      <c r="C25" s="57" t="s">
        <v>226</v>
      </c>
      <c r="D25" s="14" t="s">
        <v>262</v>
      </c>
      <c r="E25" s="18" t="s">
        <v>79</v>
      </c>
      <c r="F25" s="17" t="s">
        <v>113</v>
      </c>
      <c r="G25" s="8" t="s">
        <v>129</v>
      </c>
      <c r="H25" s="9" t="s">
        <v>140</v>
      </c>
      <c r="I25" s="9" t="s">
        <v>151</v>
      </c>
      <c r="J25" s="8" t="s">
        <v>162</v>
      </c>
      <c r="K25" s="8" t="s">
        <v>287</v>
      </c>
      <c r="O25" s="10">
        <v>742</v>
      </c>
      <c r="P25" s="10">
        <v>769</v>
      </c>
      <c r="Q25" s="10">
        <v>55.1</v>
      </c>
    </row>
    <row r="26" spans="1:21" ht="16" thickBot="1">
      <c r="A26" s="7">
        <v>24</v>
      </c>
      <c r="B26" s="7" t="s">
        <v>26</v>
      </c>
      <c r="C26" s="57" t="s">
        <v>213</v>
      </c>
      <c r="D26" s="15" t="s">
        <v>52</v>
      </c>
      <c r="E26" s="18" t="s">
        <v>80</v>
      </c>
      <c r="F26" s="17" t="s">
        <v>114</v>
      </c>
      <c r="G26" s="8" t="s">
        <v>130</v>
      </c>
      <c r="H26" s="9" t="s">
        <v>141</v>
      </c>
      <c r="I26" s="9" t="s">
        <v>152</v>
      </c>
      <c r="J26" s="8" t="s">
        <v>163</v>
      </c>
      <c r="K26" s="8" t="s">
        <v>288</v>
      </c>
      <c r="O26" s="10">
        <v>770</v>
      </c>
      <c r="P26" s="10">
        <v>844</v>
      </c>
      <c r="Q26" s="10">
        <v>50.1</v>
      </c>
    </row>
    <row r="27" spans="1:21">
      <c r="A27" s="7">
        <v>25</v>
      </c>
      <c r="B27" s="11"/>
      <c r="C27" s="15" t="s">
        <v>213</v>
      </c>
      <c r="D27" s="14" t="s">
        <v>300</v>
      </c>
      <c r="E27" s="18" t="s">
        <v>81</v>
      </c>
      <c r="F27" s="17" t="s">
        <v>115</v>
      </c>
      <c r="G27" s="3" t="s">
        <v>130</v>
      </c>
      <c r="H27" s="12" t="s">
        <v>141</v>
      </c>
      <c r="I27" s="9" t="s">
        <v>152</v>
      </c>
      <c r="J27" s="8" t="s">
        <v>163</v>
      </c>
      <c r="K27" s="8" t="s">
        <v>288</v>
      </c>
      <c r="O27" s="10">
        <v>845</v>
      </c>
      <c r="P27" s="10">
        <v>869</v>
      </c>
      <c r="Q27" s="10">
        <v>52.6</v>
      </c>
    </row>
    <row r="28" spans="1:21">
      <c r="A28" s="7">
        <v>26</v>
      </c>
      <c r="B28" s="7" t="s">
        <v>56</v>
      </c>
      <c r="C28" s="15" t="s">
        <v>227</v>
      </c>
      <c r="D28" s="15" t="s">
        <v>53</v>
      </c>
      <c r="E28" s="18" t="s">
        <v>82</v>
      </c>
      <c r="F28" s="17" t="s">
        <v>116</v>
      </c>
      <c r="G28" s="8" t="s">
        <v>130</v>
      </c>
      <c r="H28" s="8" t="s">
        <v>141</v>
      </c>
      <c r="I28" s="8" t="s">
        <v>152</v>
      </c>
      <c r="J28" s="8" t="s">
        <v>163</v>
      </c>
      <c r="K28" s="8" t="s">
        <v>288</v>
      </c>
      <c r="O28" s="10">
        <v>870</v>
      </c>
      <c r="P28" s="10">
        <v>1004</v>
      </c>
      <c r="Q28" s="10">
        <v>47.6</v>
      </c>
    </row>
    <row r="29" spans="1:21">
      <c r="A29" s="7">
        <v>27</v>
      </c>
      <c r="B29" s="11" t="s">
        <v>57</v>
      </c>
      <c r="C29" s="15" t="s">
        <v>227</v>
      </c>
      <c r="D29" s="14" t="s">
        <v>263</v>
      </c>
      <c r="E29" s="18" t="s">
        <v>83</v>
      </c>
      <c r="F29" s="17" t="s">
        <v>117</v>
      </c>
      <c r="G29" s="8" t="s">
        <v>130</v>
      </c>
      <c r="H29" s="8" t="s">
        <v>141</v>
      </c>
      <c r="I29" s="8" t="s">
        <v>152</v>
      </c>
      <c r="J29" s="8" t="s">
        <v>163</v>
      </c>
      <c r="K29" s="8" t="s">
        <v>288</v>
      </c>
      <c r="O29" s="10">
        <v>1005</v>
      </c>
      <c r="P29" s="10">
        <v>1020</v>
      </c>
      <c r="Q29" s="10">
        <v>50.1</v>
      </c>
    </row>
    <row r="30" spans="1:21" ht="16" thickBot="1">
      <c r="A30" s="7">
        <v>28</v>
      </c>
      <c r="B30" s="11" t="s">
        <v>58</v>
      </c>
      <c r="C30" s="55" t="s">
        <v>228</v>
      </c>
      <c r="D30" s="16" t="s">
        <v>54</v>
      </c>
      <c r="E30" s="18" t="s">
        <v>84</v>
      </c>
      <c r="F30" s="17" t="s">
        <v>118</v>
      </c>
      <c r="G30" s="8" t="s">
        <v>131</v>
      </c>
      <c r="H30" s="8" t="s">
        <v>142</v>
      </c>
      <c r="I30" s="8" t="s">
        <v>153</v>
      </c>
      <c r="J30" s="8" t="s">
        <v>164</v>
      </c>
      <c r="K30" s="8" t="s">
        <v>289</v>
      </c>
      <c r="O30" s="10">
        <v>1021</v>
      </c>
      <c r="P30" s="10">
        <v>1036</v>
      </c>
      <c r="Q30" s="10">
        <v>52.6</v>
      </c>
    </row>
    <row r="31" spans="1:21">
      <c r="A31" s="7">
        <v>29</v>
      </c>
      <c r="B31" s="7" t="s">
        <v>86</v>
      </c>
      <c r="C31" s="56" t="s">
        <v>229</v>
      </c>
      <c r="D31" s="13" t="s">
        <v>301</v>
      </c>
      <c r="E31" s="18" t="s">
        <v>85</v>
      </c>
      <c r="F31" s="17" t="s">
        <v>119</v>
      </c>
      <c r="G31" s="8" t="s">
        <v>131</v>
      </c>
      <c r="H31" s="8" t="s">
        <v>142</v>
      </c>
      <c r="I31" s="8" t="s">
        <v>153</v>
      </c>
      <c r="J31" s="8" t="s">
        <v>164</v>
      </c>
      <c r="K31" s="8" t="s">
        <v>289</v>
      </c>
      <c r="O31" s="10">
        <v>1037</v>
      </c>
      <c r="P31" s="10">
        <v>1052</v>
      </c>
      <c r="Q31" s="10">
        <v>55.1</v>
      </c>
    </row>
    <row r="32" spans="1:21">
      <c r="A32" s="7">
        <v>30</v>
      </c>
      <c r="B32" s="11" t="s">
        <v>87</v>
      </c>
      <c r="C32" s="58" t="s">
        <v>230</v>
      </c>
      <c r="D32" s="13" t="s">
        <v>301</v>
      </c>
      <c r="E32" s="18" t="s">
        <v>85</v>
      </c>
      <c r="F32" s="17" t="s">
        <v>119</v>
      </c>
      <c r="G32" s="8" t="s">
        <v>131</v>
      </c>
      <c r="H32" s="8" t="s">
        <v>142</v>
      </c>
      <c r="I32" s="8" t="s">
        <v>153</v>
      </c>
      <c r="J32" s="8" t="s">
        <v>164</v>
      </c>
      <c r="K32" s="8" t="s">
        <v>289</v>
      </c>
      <c r="O32" s="10">
        <v>1053</v>
      </c>
      <c r="P32" s="10">
        <v>1068</v>
      </c>
      <c r="Q32" s="10">
        <v>57.6</v>
      </c>
    </row>
    <row r="33" spans="1:17" ht="16" thickBot="1">
      <c r="A33" s="7">
        <v>31</v>
      </c>
      <c r="B33" s="11" t="s">
        <v>88</v>
      </c>
      <c r="C33" s="57" t="s">
        <v>231</v>
      </c>
      <c r="D33" s="16" t="s">
        <v>301</v>
      </c>
      <c r="E33" s="18" t="s">
        <v>85</v>
      </c>
      <c r="F33" s="17" t="s">
        <v>119</v>
      </c>
      <c r="G33" s="8" t="s">
        <v>131</v>
      </c>
      <c r="H33" s="8" t="s">
        <v>142</v>
      </c>
      <c r="I33" s="8" t="s">
        <v>153</v>
      </c>
      <c r="J33" s="8" t="s">
        <v>164</v>
      </c>
      <c r="K33" s="8" t="s">
        <v>289</v>
      </c>
      <c r="O33" s="10">
        <v>1069</v>
      </c>
      <c r="P33" s="10">
        <v>10000000</v>
      </c>
      <c r="Q33" s="10">
        <v>60.1</v>
      </c>
    </row>
    <row r="34" spans="1:17">
      <c r="A34" s="7">
        <v>32</v>
      </c>
      <c r="B34" s="11" t="s">
        <v>89</v>
      </c>
      <c r="C34" s="59" t="s">
        <v>232</v>
      </c>
      <c r="D34" s="7" t="s">
        <v>55</v>
      </c>
      <c r="E34" s="18" t="s">
        <v>90</v>
      </c>
      <c r="F34" s="7" t="s">
        <v>120</v>
      </c>
      <c r="G34" s="8" t="s">
        <v>131</v>
      </c>
      <c r="H34" s="8" t="s">
        <v>142</v>
      </c>
      <c r="I34" s="8" t="s">
        <v>153</v>
      </c>
      <c r="J34" s="8" t="s">
        <v>164</v>
      </c>
      <c r="K34" s="8" t="s">
        <v>289</v>
      </c>
    </row>
  </sheetData>
  <sheetProtection formatCells="0" selectLockedCells="1"/>
  <mergeCells count="3">
    <mergeCell ref="A1:I1"/>
    <mergeCell ref="O14:Q14"/>
    <mergeCell ref="S14:U14"/>
  </mergeCells>
  <phoneticPr fontId="1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2_34"/>
  <dimension ref="A1:Z69"/>
  <sheetViews>
    <sheetView tabSelected="1" zoomScale="110" zoomScaleNormal="110" workbookViewId="0">
      <selection activeCell="E20" sqref="E20"/>
    </sheetView>
  </sheetViews>
  <sheetFormatPr baseColWidth="10" defaultColWidth="11.5" defaultRowHeight="15"/>
  <cols>
    <col min="1" max="1" width="68.83203125" customWidth="1"/>
    <col min="2" max="2" width="26.6640625" bestFit="1" customWidth="1"/>
    <col min="3" max="3" width="55" bestFit="1" customWidth="1"/>
  </cols>
  <sheetData>
    <row r="1" spans="1:26" ht="20">
      <c r="A1" s="89"/>
      <c r="B1" s="89"/>
      <c r="C1" s="89"/>
      <c r="J1" s="2"/>
      <c r="K1" s="2"/>
      <c r="L1" s="2"/>
      <c r="Z1">
        <v>4000</v>
      </c>
    </row>
    <row r="2" spans="1:26">
      <c r="A2" s="90"/>
      <c r="B2" s="90"/>
      <c r="C2" s="90"/>
      <c r="J2" s="2"/>
      <c r="K2" s="2"/>
      <c r="L2" s="2"/>
      <c r="Z2">
        <v>4100</v>
      </c>
    </row>
    <row r="3" spans="1:26" ht="20">
      <c r="A3" s="24"/>
      <c r="B3" s="24"/>
      <c r="C3" s="24"/>
      <c r="J3" s="2"/>
      <c r="K3" s="2"/>
      <c r="L3" s="2"/>
      <c r="Z3">
        <v>4200</v>
      </c>
    </row>
    <row r="4" spans="1:26">
      <c r="A4" s="25" t="s">
        <v>170</v>
      </c>
      <c r="B4" s="1"/>
      <c r="J4" s="2"/>
      <c r="K4" s="2"/>
      <c r="L4" s="2"/>
      <c r="Z4">
        <v>4300</v>
      </c>
    </row>
    <row r="5" spans="1:26">
      <c r="A5" s="26" t="s">
        <v>171</v>
      </c>
      <c r="B5" s="20" t="s">
        <v>257</v>
      </c>
      <c r="J5" s="2"/>
      <c r="K5" s="2"/>
      <c r="L5" s="2"/>
      <c r="Z5">
        <v>4400</v>
      </c>
    </row>
    <row r="6" spans="1:26">
      <c r="A6" s="26" t="s">
        <v>172</v>
      </c>
      <c r="B6" s="21" t="s">
        <v>257</v>
      </c>
      <c r="J6" s="2"/>
      <c r="K6" s="2"/>
      <c r="L6" s="2"/>
      <c r="Z6">
        <v>4500</v>
      </c>
    </row>
    <row r="7" spans="1:26">
      <c r="A7" s="26" t="s">
        <v>173</v>
      </c>
      <c r="B7" s="22">
        <v>12345</v>
      </c>
      <c r="J7" s="2"/>
      <c r="K7" s="2"/>
      <c r="L7" s="2"/>
      <c r="Z7">
        <v>4600</v>
      </c>
    </row>
    <row r="8" spans="1:26">
      <c r="A8" s="26" t="s">
        <v>174</v>
      </c>
      <c r="B8" s="22">
        <v>34567</v>
      </c>
      <c r="J8" s="2"/>
      <c r="K8" s="2"/>
      <c r="L8" s="2"/>
      <c r="Z8">
        <v>4700</v>
      </c>
    </row>
    <row r="9" spans="1:26">
      <c r="A9" s="26" t="s">
        <v>175</v>
      </c>
      <c r="B9" s="22">
        <v>233445</v>
      </c>
      <c r="J9" s="2"/>
      <c r="K9" s="2"/>
      <c r="L9" s="2"/>
      <c r="Z9">
        <v>4800</v>
      </c>
    </row>
    <row r="10" spans="1:26">
      <c r="A10" s="26" t="s">
        <v>176</v>
      </c>
      <c r="B10" s="65">
        <v>35461</v>
      </c>
      <c r="C10" s="63" t="s">
        <v>236</v>
      </c>
      <c r="J10" s="2"/>
      <c r="K10" s="2"/>
      <c r="L10" s="2"/>
      <c r="Z10">
        <v>4915</v>
      </c>
    </row>
    <row r="11" spans="1:26">
      <c r="A11" s="26" t="s">
        <v>177</v>
      </c>
      <c r="B11" s="23"/>
      <c r="J11" s="2"/>
      <c r="K11" s="2"/>
      <c r="L11" s="2"/>
      <c r="Z11">
        <v>5030</v>
      </c>
    </row>
    <row r="12" spans="1:26">
      <c r="A12" s="26" t="s">
        <v>178</v>
      </c>
      <c r="B12" s="22"/>
      <c r="J12" s="2"/>
      <c r="K12" s="2"/>
      <c r="L12" s="10"/>
      <c r="Z12">
        <v>5145</v>
      </c>
    </row>
    <row r="13" spans="1:26">
      <c r="A13" s="26" t="s">
        <v>179</v>
      </c>
      <c r="B13" s="66">
        <v>4800</v>
      </c>
      <c r="C13" s="63" t="s">
        <v>237</v>
      </c>
      <c r="J13" s="2"/>
      <c r="K13" s="2"/>
      <c r="L13" s="2"/>
      <c r="Z13">
        <v>5260</v>
      </c>
    </row>
    <row r="14" spans="1:26" ht="16">
      <c r="A14" s="86" t="s">
        <v>304</v>
      </c>
      <c r="B14" s="85">
        <f>ROUND(B64/2,2)</f>
        <v>20050</v>
      </c>
      <c r="C14" s="94" t="s">
        <v>302</v>
      </c>
      <c r="D14" s="93">
        <f>ROUND(B60/2,2)</f>
        <v>14200</v>
      </c>
      <c r="J14" s="2"/>
      <c r="K14" s="2"/>
      <c r="L14" s="2"/>
      <c r="Z14">
        <v>5375</v>
      </c>
    </row>
    <row r="15" spans="1:26" ht="16">
      <c r="A15" s="86" t="s">
        <v>305</v>
      </c>
      <c r="B15" s="85">
        <f>ROUND(B64*0.3,2)</f>
        <v>12030</v>
      </c>
      <c r="C15" s="94" t="s">
        <v>303</v>
      </c>
      <c r="D15" s="93">
        <f>ROUND(B60*0.3,2)</f>
        <v>8520</v>
      </c>
      <c r="J15" s="2"/>
      <c r="K15" s="2"/>
      <c r="L15" s="2"/>
      <c r="Z15">
        <v>5490</v>
      </c>
    </row>
    <row r="16" spans="1:26" ht="16">
      <c r="A16" s="27"/>
      <c r="B16" s="28"/>
      <c r="C16" s="63" t="s">
        <v>238</v>
      </c>
      <c r="J16" s="2"/>
      <c r="K16" s="2"/>
      <c r="L16" s="2"/>
      <c r="Z16">
        <v>5605</v>
      </c>
    </row>
    <row r="17" spans="1:26">
      <c r="A17" s="29" t="s">
        <v>268</v>
      </c>
      <c r="B17" s="91"/>
      <c r="C17" s="74" t="s">
        <v>269</v>
      </c>
      <c r="J17" s="2"/>
      <c r="K17" s="2"/>
      <c r="L17" s="2"/>
      <c r="Z17">
        <v>5720</v>
      </c>
    </row>
    <row r="18" spans="1:26">
      <c r="A18" s="29" t="s">
        <v>180</v>
      </c>
      <c r="B18" s="91"/>
      <c r="C18" s="74" t="s">
        <v>270</v>
      </c>
      <c r="J18" s="2"/>
      <c r="K18" s="2"/>
      <c r="L18" s="2"/>
      <c r="Z18">
        <v>5835</v>
      </c>
    </row>
    <row r="19" spans="1:26">
      <c r="A19" s="29" t="s">
        <v>181</v>
      </c>
      <c r="B19" s="91"/>
      <c r="C19" s="74" t="s">
        <v>271</v>
      </c>
      <c r="J19" s="2"/>
      <c r="K19" s="2"/>
      <c r="L19" s="2"/>
      <c r="Z19">
        <v>5950</v>
      </c>
    </row>
    <row r="20" spans="1:26">
      <c r="A20" s="29" t="s">
        <v>182</v>
      </c>
      <c r="B20" s="91"/>
      <c r="C20" s="74" t="s">
        <v>272</v>
      </c>
      <c r="J20" s="2"/>
      <c r="K20" s="2"/>
      <c r="L20" s="2"/>
      <c r="Z20">
        <v>6065</v>
      </c>
    </row>
    <row r="21" spans="1:26">
      <c r="A21" s="29" t="s">
        <v>183</v>
      </c>
      <c r="B21" s="84" t="s">
        <v>125</v>
      </c>
      <c r="C21" s="74" t="s">
        <v>273</v>
      </c>
      <c r="J21" s="2"/>
      <c r="K21" s="2"/>
      <c r="L21" s="2"/>
      <c r="Z21">
        <v>6180</v>
      </c>
    </row>
    <row r="22" spans="1:26">
      <c r="A22" s="29" t="s">
        <v>184</v>
      </c>
      <c r="B22" s="91" t="s">
        <v>136</v>
      </c>
      <c r="C22" s="74" t="s">
        <v>274</v>
      </c>
      <c r="J22" s="2"/>
      <c r="K22" s="2"/>
      <c r="L22" s="2"/>
      <c r="Z22">
        <v>6295</v>
      </c>
    </row>
    <row r="23" spans="1:26">
      <c r="A23" s="29" t="s">
        <v>185</v>
      </c>
      <c r="B23" s="92" t="s">
        <v>147</v>
      </c>
      <c r="C23" s="74" t="s">
        <v>275</v>
      </c>
      <c r="J23" s="2"/>
      <c r="K23" s="2"/>
      <c r="L23" s="2"/>
      <c r="Z23">
        <v>6410</v>
      </c>
    </row>
    <row r="24" spans="1:26">
      <c r="A24" s="29" t="s">
        <v>186</v>
      </c>
      <c r="B24" s="91" t="s">
        <v>158</v>
      </c>
      <c r="C24" s="74" t="s">
        <v>276</v>
      </c>
      <c r="J24" s="2"/>
      <c r="K24" s="2"/>
      <c r="L24" s="2"/>
      <c r="Z24">
        <v>6525</v>
      </c>
    </row>
    <row r="25" spans="1:26" ht="16" thickBot="1">
      <c r="A25" s="83" t="s">
        <v>290</v>
      </c>
      <c r="B25" s="91" t="s">
        <v>283</v>
      </c>
      <c r="C25" s="74" t="s">
        <v>292</v>
      </c>
      <c r="J25" s="2"/>
      <c r="K25" s="2"/>
      <c r="L25" s="2"/>
      <c r="Z25">
        <v>6640</v>
      </c>
    </row>
    <row r="26" spans="1:26" ht="22" customHeight="1" thickBot="1">
      <c r="A26" s="30" t="s">
        <v>187</v>
      </c>
      <c r="B26" s="31" t="s">
        <v>204</v>
      </c>
      <c r="C26" s="32"/>
      <c r="J26" s="2"/>
      <c r="K26" s="2"/>
      <c r="L26" s="2"/>
      <c r="Z26">
        <v>6755</v>
      </c>
    </row>
    <row r="27" spans="1:26" ht="15" customHeight="1" thickBot="1">
      <c r="A27" s="30" t="s">
        <v>239</v>
      </c>
      <c r="B27" s="31">
        <f>IF(B17&lt;&gt;"", B13, 0)</f>
        <v>0</v>
      </c>
      <c r="C27" s="33" t="s">
        <v>208</v>
      </c>
      <c r="D27" s="34"/>
      <c r="J27" s="2"/>
      <c r="K27" s="2"/>
      <c r="L27" s="2"/>
      <c r="Z27">
        <v>6870</v>
      </c>
    </row>
    <row r="28" spans="1:26" ht="16" thickBot="1">
      <c r="A28" s="35" t="s">
        <v>265</v>
      </c>
      <c r="B28" s="36">
        <f>IF(B27&lt;&gt;0,150,0)</f>
        <v>0</v>
      </c>
      <c r="C28" s="33" t="s">
        <v>210</v>
      </c>
      <c r="J28" s="2"/>
      <c r="K28" s="2"/>
      <c r="L28" s="2"/>
      <c r="Z28">
        <v>6985</v>
      </c>
    </row>
    <row r="29" spans="1:26" ht="16" thickBot="1">
      <c r="A29" s="35" t="s">
        <v>209</v>
      </c>
      <c r="B29" s="36" cm="1">
        <f t="array" ref="B29">IF(B27&lt;&gt;0,INDEX(Lookup_scale!U16:U20,MATCH(1,(B27&gt;=Lookup_scale!S16:S20)*(B27&lt;=Lookup_scale!T16:T20),0)),0)</f>
        <v>0</v>
      </c>
      <c r="C29" s="33" t="s">
        <v>266</v>
      </c>
      <c r="J29" s="2"/>
      <c r="K29" s="2"/>
      <c r="L29" s="2"/>
      <c r="Z29">
        <v>7100</v>
      </c>
    </row>
    <row r="30" spans="1:26" ht="16" thickBot="1">
      <c r="A30" s="35" t="s">
        <v>241</v>
      </c>
      <c r="B30" s="36">
        <f xml:space="preserve"> SUM(B27,B28,B29)</f>
        <v>0</v>
      </c>
      <c r="C30" s="33" t="s">
        <v>242</v>
      </c>
      <c r="J30" s="2"/>
      <c r="K30" s="2"/>
      <c r="L30" s="2"/>
      <c r="Z30">
        <v>7215</v>
      </c>
    </row>
    <row r="31" spans="1:26" ht="16" thickBot="1">
      <c r="A31" s="30" t="s">
        <v>240</v>
      </c>
      <c r="B31" s="31">
        <v>0</v>
      </c>
      <c r="C31" s="68" t="s">
        <v>258</v>
      </c>
      <c r="J31" s="2"/>
      <c r="K31" s="2"/>
      <c r="L31" s="2"/>
      <c r="Z31">
        <v>7330</v>
      </c>
    </row>
    <row r="32" spans="1:26" ht="19" customHeight="1" thickBot="1">
      <c r="A32" s="35" t="s">
        <v>207</v>
      </c>
      <c r="B32" s="36">
        <f>IF(B31&lt;&gt;0, 237.85, 0)</f>
        <v>0</v>
      </c>
      <c r="C32" s="33" t="s">
        <v>206</v>
      </c>
      <c r="J32" s="2"/>
      <c r="K32" s="2"/>
      <c r="L32" s="2"/>
    </row>
    <row r="33" spans="1:12" ht="19" customHeight="1" thickBot="1">
      <c r="A33" s="35" t="s">
        <v>190</v>
      </c>
      <c r="B33" s="36">
        <f>IF(B31&lt;&gt;0,IF(B31&lt;=619,212.4,IF(AND(B31&gt;=620,B31&lt;=769),217.4,IF(AND(B31&gt;=770,B31&lt;=869),222.4,IF(B31&gt;=870,227.4,0)))),0)</f>
        <v>0</v>
      </c>
      <c r="C33" s="33"/>
      <c r="J33" s="2"/>
      <c r="K33" s="2"/>
      <c r="L33" s="2"/>
    </row>
    <row r="34" spans="1:12" ht="16" thickBot="1">
      <c r="A34" s="35" t="s">
        <v>0</v>
      </c>
      <c r="B34" s="36">
        <f>IF(B31&lt;&gt;0,60,0)</f>
        <v>0</v>
      </c>
      <c r="C34" s="33" t="s">
        <v>203</v>
      </c>
      <c r="J34" s="2"/>
      <c r="K34" s="2"/>
      <c r="L34" s="2"/>
    </row>
    <row r="35" spans="1:12" ht="16" thickBot="1">
      <c r="A35" s="67" t="s">
        <v>241</v>
      </c>
      <c r="B35" s="36">
        <f>SUM(B31,B32,B33,B34)</f>
        <v>0</v>
      </c>
      <c r="C35" s="33" t="s">
        <v>205</v>
      </c>
      <c r="J35" s="2"/>
      <c r="K35" s="2"/>
      <c r="L35" s="2"/>
    </row>
    <row r="36" spans="1:12" ht="16" thickBot="1">
      <c r="A36" s="30" t="s">
        <v>243</v>
      </c>
      <c r="B36" s="31">
        <v>0</v>
      </c>
      <c r="C36" s="33" t="s">
        <v>267</v>
      </c>
      <c r="J36" s="2"/>
      <c r="K36" s="2"/>
      <c r="L36" s="2"/>
    </row>
    <row r="37" spans="1:12" ht="16" thickBot="1">
      <c r="A37" s="35" t="s">
        <v>188</v>
      </c>
      <c r="B37" s="36">
        <f>IF(B36&lt;&gt;0, 778.45, 0)</f>
        <v>0</v>
      </c>
      <c r="C37" s="33" t="s">
        <v>203</v>
      </c>
      <c r="J37" s="2"/>
      <c r="K37" s="2"/>
      <c r="L37" s="2"/>
    </row>
    <row r="38" spans="1:12" ht="16" thickBot="1">
      <c r="A38" s="35" t="s">
        <v>189</v>
      </c>
      <c r="B38" s="36">
        <f>IF(B31=0,0,INDEX(Lookup_scale!Q16:Q33,MATCH(1,INDEX((B31&gt;=Lookup_scale!O16:O33)*(B31&lt;=Lookup_scale!P16:P33),0),0)))</f>
        <v>0</v>
      </c>
      <c r="C38" s="32" t="s">
        <v>277</v>
      </c>
      <c r="J38" s="2"/>
      <c r="K38" s="2"/>
      <c r="L38" s="2"/>
    </row>
    <row r="39" spans="1:12" ht="16" thickBot="1">
      <c r="A39" s="35" t="s">
        <v>190</v>
      </c>
      <c r="B39" s="69">
        <f>IF(B36&lt;&gt;0, IF(B36&lt;=1458,140,IF(AND(B36&gt;=1459,B36&lt;=1589),150,IF(AND(B36&gt;=1590,B36&lt;=1700),200,IF(AND(B36&gt;=1701,B36&lt;=1779),260,IF(AND(B36&gt;=1780,B36&lt;=1909),380,IF(AND(B36&gt;=1910,B36&lt;=2218),440,IF(AND(B36&gt;=2219,B36&lt;=2418),460,IF(AND(B36&gt;=2419,B36&lt;=2618),480,IF(AND(B36&gt;=2619,B36&lt;=2700),500,IF(B36&gt;=2701,520,)))))))))),0)</f>
        <v>0</v>
      </c>
      <c r="C39" s="33"/>
      <c r="J39" s="2"/>
      <c r="K39" s="2"/>
      <c r="L39" s="2"/>
    </row>
    <row r="40" spans="1:12" ht="27" customHeight="1" thickBot="1">
      <c r="A40" s="70" t="s">
        <v>191</v>
      </c>
      <c r="B40" s="36">
        <f>IF(B36&lt;&gt;0, B36*0.125, 0)</f>
        <v>0</v>
      </c>
      <c r="C40" s="33"/>
      <c r="J40" s="2"/>
      <c r="K40" s="2"/>
      <c r="L40" s="2"/>
    </row>
    <row r="41" spans="1:12" ht="16" thickBot="1">
      <c r="A41" s="35" t="s">
        <v>241</v>
      </c>
      <c r="B41" s="71">
        <f>SUM(B36:B40)</f>
        <v>0</v>
      </c>
      <c r="C41" s="33" t="s">
        <v>251</v>
      </c>
      <c r="J41" s="2"/>
      <c r="K41" s="2"/>
      <c r="L41" s="2"/>
    </row>
    <row r="42" spans="1:12" ht="16" thickBot="1">
      <c r="A42" s="30" t="s">
        <v>244</v>
      </c>
      <c r="B42" s="31">
        <v>0</v>
      </c>
      <c r="C42" s="33" t="s">
        <v>252</v>
      </c>
      <c r="J42" s="2"/>
      <c r="K42" s="2"/>
      <c r="L42" s="2"/>
    </row>
    <row r="43" spans="1:12" s="39" customFormat="1" ht="33" customHeight="1" thickBot="1">
      <c r="A43" s="70" t="s">
        <v>291</v>
      </c>
      <c r="B43" s="72">
        <f>ROUNDUP(IF(B42&lt;=3000, B42*2%, B42*4%),0)</f>
        <v>0</v>
      </c>
      <c r="C43" s="38"/>
      <c r="J43" s="40"/>
      <c r="K43" s="40"/>
      <c r="L43" s="40"/>
    </row>
    <row r="44" spans="1:12" ht="16" thickBot="1">
      <c r="A44" s="35" t="s">
        <v>192</v>
      </c>
      <c r="B44" s="69">
        <f>IF(B42&lt;&gt;0, IF(B42&lt;=Lookup_scale!P6,MAX(B42*Lookup_scale!R6,Lookup_scale!Q6),IF(AND(B42&gt;=Lookup_scale!O7,B42&lt;Lookup_scale!P7),MAX(B42*Lookup_scale!R7,Lookup_scale!Q7),IF(AND(B42&gt;=Lookup_scale!O8,B42&lt;Lookup_scale!P8),MAX(B42*Lookup_scale!R8,Lookup_scale!Q8),IF(B42&gt;=Lookup_scale!O9,MAX(B42*Lookup_scale!R9,Lookup_scale!Q9))))),0)</f>
        <v>0</v>
      </c>
      <c r="C44" s="33"/>
      <c r="H44" s="60"/>
      <c r="J44" s="2"/>
      <c r="K44" s="2"/>
      <c r="L44" s="2"/>
    </row>
    <row r="45" spans="1:12" ht="16" thickBot="1">
      <c r="A45" s="35" t="s">
        <v>193</v>
      </c>
      <c r="B45" s="69">
        <f>IF(B42&lt;&gt;0, 138, 0)</f>
        <v>0</v>
      </c>
      <c r="C45" s="33"/>
      <c r="H45" s="60"/>
      <c r="J45" s="2"/>
      <c r="K45" s="2"/>
      <c r="L45" s="2"/>
    </row>
    <row r="46" spans="1:12" ht="21" customHeight="1" thickBot="1">
      <c r="A46" s="35" t="s">
        <v>194</v>
      </c>
      <c r="B46" s="36">
        <f>IF(B42&lt;&gt;0, B42*0.275, 0)</f>
        <v>0</v>
      </c>
      <c r="C46" s="33"/>
      <c r="H46" s="60"/>
      <c r="J46" s="2"/>
      <c r="K46" s="2"/>
      <c r="L46" s="2"/>
    </row>
    <row r="47" spans="1:12" s="43" customFormat="1" ht="20" customHeight="1" thickBot="1">
      <c r="A47" s="70" t="s">
        <v>245</v>
      </c>
      <c r="B47" s="73">
        <f>SUM(B42:B46)</f>
        <v>0</v>
      </c>
      <c r="C47" s="42" t="s">
        <v>247</v>
      </c>
      <c r="H47" s="61"/>
      <c r="J47" s="44"/>
      <c r="K47" s="44"/>
      <c r="L47" s="44"/>
    </row>
    <row r="48" spans="1:12" s="39" customFormat="1" ht="17" thickBot="1">
      <c r="A48" s="37" t="s">
        <v>246</v>
      </c>
      <c r="B48" s="45">
        <v>4800</v>
      </c>
      <c r="C48" s="38" t="s">
        <v>259</v>
      </c>
      <c r="H48" s="62"/>
      <c r="J48" s="40"/>
      <c r="K48" s="40"/>
      <c r="L48" s="40"/>
    </row>
    <row r="49" spans="1:12" ht="16" thickBot="1">
      <c r="A49" s="35" t="s">
        <v>195</v>
      </c>
      <c r="B49" s="7">
        <f>IF(B48&lt;&gt;0, B48*0.782, 0)</f>
        <v>3753.6000000000004</v>
      </c>
      <c r="C49" s="33"/>
      <c r="H49" s="60"/>
      <c r="J49" s="2"/>
      <c r="K49" s="2"/>
      <c r="L49" s="2"/>
    </row>
    <row r="50" spans="1:12" ht="16" thickBot="1">
      <c r="A50" s="35" t="s">
        <v>196</v>
      </c>
      <c r="B50" s="46">
        <f>IF((B48+B49)&lt;&gt;0, (B48+B49)*0.23, 0)</f>
        <v>1967.3280000000002</v>
      </c>
      <c r="C50" s="33"/>
      <c r="J50" s="2"/>
      <c r="K50" s="2"/>
      <c r="L50" s="2"/>
    </row>
    <row r="51" spans="1:12" ht="16" thickBot="1">
      <c r="A51" s="35" t="s">
        <v>241</v>
      </c>
      <c r="B51" s="46">
        <f>ROUNDUP(SUM(B48:B50),-1)</f>
        <v>10530</v>
      </c>
      <c r="C51" s="33" t="s">
        <v>248</v>
      </c>
      <c r="J51" s="2"/>
      <c r="K51" s="2"/>
      <c r="L51" s="2"/>
    </row>
    <row r="52" spans="1:12" ht="16" thickBot="1">
      <c r="A52" s="30" t="s">
        <v>197</v>
      </c>
      <c r="B52" s="4">
        <v>10530</v>
      </c>
      <c r="C52" s="33" t="s">
        <v>253</v>
      </c>
      <c r="J52" s="2"/>
      <c r="K52" s="2"/>
      <c r="L52" s="2"/>
    </row>
    <row r="53" spans="1:12" s="39" customFormat="1" ht="16" thickBot="1">
      <c r="A53" s="35" t="s">
        <v>198</v>
      </c>
      <c r="B53" s="64">
        <f>IF(B52&lt;&gt;0, B52*0.5714, 0)</f>
        <v>6016.8420000000006</v>
      </c>
      <c r="C53" s="47"/>
      <c r="J53" s="40"/>
      <c r="K53" s="40"/>
      <c r="L53" s="40"/>
    </row>
    <row r="54" spans="1:12" ht="16" thickBot="1">
      <c r="A54" s="35" t="s">
        <v>199</v>
      </c>
      <c r="B54" s="46">
        <f>IF((B52+B53)&lt;&gt;0, (B52+B53)*0.105, 0)</f>
        <v>1737.41841</v>
      </c>
      <c r="C54" s="33"/>
      <c r="J54" s="2"/>
      <c r="K54" s="2"/>
      <c r="L54" s="2"/>
    </row>
    <row r="55" spans="1:12" ht="16" thickBot="1">
      <c r="A55" s="35" t="s">
        <v>241</v>
      </c>
      <c r="B55" s="46">
        <f>ROUNDUP(SUM(B52:B54),-1)</f>
        <v>18290</v>
      </c>
      <c r="C55" s="33" t="s">
        <v>250</v>
      </c>
      <c r="J55" s="2"/>
      <c r="K55" s="2"/>
      <c r="L55" s="2"/>
    </row>
    <row r="56" spans="1:12" ht="17" thickBot="1">
      <c r="A56" s="48" t="s">
        <v>249</v>
      </c>
      <c r="B56" s="49">
        <v>18290</v>
      </c>
      <c r="C56" s="51" t="s">
        <v>254</v>
      </c>
      <c r="J56" s="2"/>
      <c r="K56" s="2"/>
      <c r="L56" s="2"/>
    </row>
    <row r="57" spans="1:12" ht="16" thickBot="1">
      <c r="A57" s="35" t="s">
        <v>200</v>
      </c>
      <c r="B57" s="46">
        <f>IF(B56&lt;&gt;0, B56*0.4, 0)</f>
        <v>7316</v>
      </c>
      <c r="C57" s="33"/>
      <c r="J57" s="2"/>
      <c r="K57" s="2"/>
      <c r="L57" s="2"/>
    </row>
    <row r="58" spans="1:12" ht="16" thickBot="1">
      <c r="A58" s="35" t="s">
        <v>201</v>
      </c>
      <c r="B58" s="46">
        <f>IF((B56+B57)&lt;&gt;0, (B56+B57)*0.106, 0)</f>
        <v>2714.2359999999999</v>
      </c>
      <c r="C58" s="33"/>
      <c r="J58" s="2"/>
      <c r="K58" s="2"/>
      <c r="L58" s="2"/>
    </row>
    <row r="59" spans="1:12" ht="16" thickBot="1">
      <c r="A59" s="35" t="s">
        <v>241</v>
      </c>
      <c r="B59" s="46">
        <f>SUM(B56:B58)</f>
        <v>28320.236000000001</v>
      </c>
      <c r="C59" s="33" t="s">
        <v>255</v>
      </c>
      <c r="J59" s="2"/>
      <c r="K59" s="2"/>
      <c r="L59" s="2"/>
    </row>
    <row r="60" spans="1:12" ht="17" thickBot="1">
      <c r="A60" s="30" t="s">
        <v>202</v>
      </c>
      <c r="B60" s="50">
        <v>28400</v>
      </c>
      <c r="C60" s="82" t="s">
        <v>256</v>
      </c>
      <c r="J60" s="2"/>
      <c r="K60" s="2"/>
      <c r="L60" s="2"/>
    </row>
    <row r="61" spans="1:12" ht="16" thickBot="1">
      <c r="A61" s="77" t="s">
        <v>278</v>
      </c>
      <c r="B61" s="75">
        <f>IF(B60&lt;&gt;0, B60*0.3, 0)</f>
        <v>8520</v>
      </c>
      <c r="C61" s="79"/>
      <c r="J61" s="2"/>
      <c r="K61" s="2"/>
      <c r="L61" s="2"/>
    </row>
    <row r="62" spans="1:12" ht="16" thickBot="1">
      <c r="A62" s="35" t="s">
        <v>293</v>
      </c>
      <c r="B62" s="78">
        <f>IF(B60&lt;&gt;0, B60*1.3*0.085, 0)</f>
        <v>3138.2000000000003</v>
      </c>
      <c r="C62" s="79"/>
      <c r="J62" s="2"/>
      <c r="K62" s="2"/>
      <c r="L62" s="2"/>
    </row>
    <row r="63" spans="1:12">
      <c r="A63" s="77" t="s">
        <v>241</v>
      </c>
      <c r="B63" s="80">
        <f>SUM(B60:B62)</f>
        <v>40058.199999999997</v>
      </c>
      <c r="C63" s="81"/>
      <c r="J63" s="2"/>
      <c r="K63" s="2"/>
      <c r="L63" s="2"/>
    </row>
    <row r="64" spans="1:12">
      <c r="A64" s="19" t="s">
        <v>279</v>
      </c>
      <c r="B64" s="78">
        <v>40100</v>
      </c>
      <c r="C64" s="79"/>
      <c r="J64" s="2"/>
      <c r="K64" s="2"/>
      <c r="L64" s="2"/>
    </row>
    <row r="65" spans="1:12">
      <c r="A65" s="34"/>
      <c r="B65" s="75"/>
      <c r="C65" s="76"/>
      <c r="J65" s="2"/>
      <c r="K65" s="2"/>
      <c r="L65" s="2"/>
    </row>
    <row r="66" spans="1:12">
      <c r="B66" s="1"/>
      <c r="J66" s="2"/>
      <c r="K66" s="2"/>
      <c r="L66" s="2"/>
    </row>
    <row r="67" spans="1:12" ht="16">
      <c r="A67" s="95"/>
      <c r="B67" s="96"/>
      <c r="C67" s="97"/>
      <c r="J67" s="2"/>
      <c r="K67" s="2"/>
      <c r="L67" s="2"/>
    </row>
    <row r="68" spans="1:12">
      <c r="A68" s="98"/>
      <c r="B68" s="99"/>
      <c r="C68" s="98"/>
      <c r="J68" s="2"/>
      <c r="K68" s="2"/>
      <c r="L68" s="2"/>
    </row>
    <row r="69" spans="1:12" ht="16">
      <c r="A69" s="95"/>
      <c r="B69" s="96"/>
      <c r="C69" s="100"/>
      <c r="J69" s="2"/>
      <c r="K69" s="2"/>
      <c r="L69" s="2"/>
    </row>
  </sheetData>
  <mergeCells count="2">
    <mergeCell ref="A1:C1"/>
    <mergeCell ref="A2:C2"/>
  </mergeCells>
  <dataValidations count="1">
    <dataValidation type="list" allowBlank="1" showInputMessage="1" showErrorMessage="1" sqref="B13" xr:uid="{85B2D69F-424A-D34B-915C-A7F0C145A15E}">
      <formula1>$Z$1:$Z$31</formula1>
    </dataValidation>
  </dataValidations>
  <hyperlinks>
    <hyperlink ref="A57" r:id="rId1" xr:uid="{00000000-0004-0000-0100-000000000000}"/>
    <hyperlink ref="A61" r:id="rId2" xr:uid="{00000000-0004-0000-0100-000001000000}"/>
  </hyperlinks>
  <pageMargins left="0.7" right="0.7" top="0.75" bottom="0.75" header="0.3" footer="0.3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100-000000000000}">
          <x14:formula1>
            <xm:f>Lookup_scale!C3:C1000</xm:f>
          </x14:formula1>
          <xm:sqref>B17</xm:sqref>
        </x14:dataValidation>
        <x14:dataValidation type="list" allowBlank="1" showInputMessage="1" showErrorMessage="1" xr:uid="{00000000-0002-0000-0100-000001000000}">
          <x14:formula1>
            <xm:f>Lookup_scale!D3:D1000</xm:f>
          </x14:formula1>
          <xm:sqref>B18</xm:sqref>
        </x14:dataValidation>
        <x14:dataValidation type="list" allowBlank="1" showInputMessage="1" showErrorMessage="1" xr:uid="{00000000-0002-0000-0100-000002000000}">
          <x14:formula1>
            <xm:f>Lookup_scale!E3:E1000</xm:f>
          </x14:formula1>
          <xm:sqref>B19</xm:sqref>
        </x14:dataValidation>
        <x14:dataValidation type="list" allowBlank="1" showInputMessage="1" showErrorMessage="1" xr:uid="{00000000-0002-0000-0100-000003000000}">
          <x14:formula1>
            <xm:f>Lookup_scale!F3:F1000</xm:f>
          </x14:formula1>
          <xm:sqref>B20</xm:sqref>
        </x14:dataValidation>
        <x14:dataValidation type="list" allowBlank="1" showInputMessage="1" showErrorMessage="1" xr:uid="{00000000-0002-0000-0100-000004000000}">
          <x14:formula1>
            <xm:f>Lookup_scale!G3:G1000</xm:f>
          </x14:formula1>
          <xm:sqref>B21</xm:sqref>
        </x14:dataValidation>
        <x14:dataValidation type="list" allowBlank="1" showInputMessage="1" showErrorMessage="1" xr:uid="{00000000-0002-0000-0100-000005000000}">
          <x14:formula1>
            <xm:f>Lookup_scale!H3:H1000</xm:f>
          </x14:formula1>
          <xm:sqref>B22</xm:sqref>
        </x14:dataValidation>
        <x14:dataValidation type="list" allowBlank="1" showInputMessage="1" showErrorMessage="1" xr:uid="{00000000-0002-0000-0100-000006000000}">
          <x14:formula1>
            <xm:f>Lookup_scale!I3:I1000</xm:f>
          </x14:formula1>
          <xm:sqref>B23</xm:sqref>
        </x14:dataValidation>
        <x14:dataValidation type="list" allowBlank="1" showInputMessage="1" showErrorMessage="1" xr:uid="{00000000-0002-0000-0100-000007000000}">
          <x14:formula1>
            <xm:f>Lookup_scale!J3:J1000</xm:f>
          </x14:formula1>
          <xm:sqref>B24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Lookup_scale</vt:lpstr>
      <vt:lpstr>M2_34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Ritesh Mukherjee</cp:lastModifiedBy>
  <cp:lastPrinted>2024-10-24T09:02:57Z</cp:lastPrinted>
  <dcterms:created xsi:type="dcterms:W3CDTF">2021-10-27T06:22:12Z</dcterms:created>
  <dcterms:modified xsi:type="dcterms:W3CDTF">2026-05-15T10:28:50Z</dcterms:modified>
</cp:coreProperties>
</file>